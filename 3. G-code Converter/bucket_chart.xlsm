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nezu\Dropbox\beadv2\SW\3. G-code Converter\"/>
    </mc:Choice>
  </mc:AlternateContent>
  <bookViews>
    <workbookView xWindow="30990" yWindow="2775" windowWidth="21600" windowHeight="11385"/>
  </bookViews>
  <sheets>
    <sheet name="Sheet1" sheetId="1" r:id="rId1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D3" i="1"/>
  <c r="C4" i="1"/>
  <c r="D4" i="1"/>
  <c r="C5" i="1"/>
  <c r="D5" i="1"/>
  <c r="C6" i="1"/>
  <c r="D6" i="1"/>
  <c r="C7" i="1"/>
  <c r="D7" i="1"/>
  <c r="C8" i="1"/>
  <c r="D8" i="1"/>
  <c r="C40" i="1" l="1"/>
  <c r="D40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2" i="1"/>
  <c r="D42" i="1"/>
  <c r="C9" i="1" l="1"/>
  <c r="D9" i="1"/>
  <c r="C10" i="1"/>
  <c r="D10" i="1"/>
  <c r="C11" i="1"/>
  <c r="D11" i="1"/>
  <c r="C12" i="1"/>
  <c r="D12" i="1"/>
  <c r="D2" i="1" l="1"/>
  <c r="C2" i="1"/>
  <c r="R49" i="1" l="1"/>
  <c r="S49" i="1"/>
  <c r="S89" i="1" l="1"/>
  <c r="S77" i="1"/>
  <c r="S63" i="1"/>
  <c r="S88" i="1"/>
  <c r="S65" i="1"/>
  <c r="S125" i="1"/>
  <c r="S103" i="1"/>
  <c r="R89" i="1"/>
  <c r="R77" i="1"/>
  <c r="R63" i="1"/>
  <c r="R88" i="1"/>
  <c r="R65" i="1"/>
  <c r="R125" i="1"/>
  <c r="R103" i="1"/>
  <c r="L124" i="1" l="1"/>
  <c r="M124" i="1"/>
  <c r="N124" i="1"/>
  <c r="L62" i="1"/>
  <c r="M62" i="1"/>
  <c r="N62" i="1"/>
  <c r="L10" i="1"/>
  <c r="M10" i="1"/>
  <c r="N10" i="1"/>
  <c r="L11" i="1"/>
  <c r="M11" i="1"/>
  <c r="N11" i="1"/>
  <c r="L68" i="1"/>
  <c r="M68" i="1"/>
  <c r="N68" i="1"/>
  <c r="L98" i="1"/>
  <c r="M98" i="1"/>
  <c r="N98" i="1"/>
  <c r="L100" i="1"/>
  <c r="M100" i="1"/>
  <c r="N100" i="1"/>
  <c r="L29" i="1"/>
  <c r="M29" i="1"/>
  <c r="N29" i="1"/>
  <c r="L24" i="1"/>
  <c r="M24" i="1"/>
  <c r="N24" i="1"/>
  <c r="L9" i="1"/>
  <c r="M9" i="1"/>
  <c r="N9" i="1"/>
  <c r="L19" i="1"/>
  <c r="M19" i="1"/>
  <c r="N19" i="1"/>
  <c r="L73" i="1"/>
  <c r="M73" i="1"/>
  <c r="N73" i="1"/>
  <c r="L46" i="1"/>
  <c r="M46" i="1"/>
  <c r="N46" i="1"/>
  <c r="L72" i="1"/>
  <c r="M72" i="1"/>
  <c r="N72" i="1"/>
  <c r="L74" i="1"/>
  <c r="M74" i="1"/>
  <c r="N74" i="1"/>
  <c r="L109" i="1"/>
  <c r="M109" i="1"/>
  <c r="N109" i="1"/>
  <c r="L82" i="1"/>
  <c r="M82" i="1"/>
  <c r="N82" i="1"/>
  <c r="L38" i="1"/>
  <c r="M38" i="1"/>
  <c r="N38" i="1"/>
  <c r="L40" i="1"/>
  <c r="M40" i="1"/>
  <c r="N40" i="1"/>
  <c r="L37" i="1"/>
  <c r="M37" i="1"/>
  <c r="N37" i="1"/>
  <c r="L110" i="1"/>
  <c r="M110" i="1"/>
  <c r="N110" i="1"/>
  <c r="L12" i="1"/>
  <c r="M12" i="1"/>
  <c r="N12" i="1"/>
  <c r="L14" i="1"/>
  <c r="M14" i="1"/>
  <c r="N14" i="1"/>
  <c r="L15" i="1"/>
  <c r="M15" i="1"/>
  <c r="N15" i="1"/>
  <c r="L45" i="1"/>
  <c r="M45" i="1"/>
  <c r="N45" i="1"/>
  <c r="L111" i="1"/>
  <c r="M111" i="1"/>
  <c r="N111" i="1"/>
  <c r="L70" i="1"/>
  <c r="M70" i="1"/>
  <c r="N70" i="1"/>
  <c r="L59" i="1"/>
  <c r="M59" i="1"/>
  <c r="N59" i="1"/>
  <c r="L53" i="1"/>
  <c r="M53" i="1"/>
  <c r="N53" i="1"/>
  <c r="L112" i="1"/>
  <c r="M112" i="1"/>
  <c r="N112" i="1"/>
  <c r="L80" i="1"/>
  <c r="M80" i="1"/>
  <c r="N80" i="1"/>
  <c r="L67" i="1"/>
  <c r="M67" i="1"/>
  <c r="N67" i="1"/>
  <c r="L113" i="1"/>
  <c r="M113" i="1"/>
  <c r="N113" i="1"/>
  <c r="L83" i="1"/>
  <c r="M83" i="1"/>
  <c r="N83" i="1"/>
  <c r="L96" i="1"/>
  <c r="M96" i="1"/>
  <c r="N96" i="1"/>
  <c r="L99" i="1"/>
  <c r="M99" i="1"/>
  <c r="N99" i="1"/>
  <c r="L81" i="1"/>
  <c r="M81" i="1"/>
  <c r="N81" i="1"/>
  <c r="L114" i="1"/>
  <c r="M114" i="1"/>
  <c r="N114" i="1"/>
  <c r="L84" i="1"/>
  <c r="M84" i="1"/>
  <c r="N84" i="1"/>
  <c r="L104" i="1"/>
  <c r="M104" i="1"/>
  <c r="N104" i="1"/>
  <c r="L115" i="1"/>
  <c r="M115" i="1"/>
  <c r="N115" i="1"/>
  <c r="L86" i="1"/>
  <c r="M86" i="1"/>
  <c r="N86" i="1"/>
  <c r="L95" i="1"/>
  <c r="M95" i="1"/>
  <c r="N95" i="1"/>
  <c r="L116" i="1"/>
  <c r="M116" i="1"/>
  <c r="N116" i="1"/>
  <c r="L64" i="1"/>
  <c r="M64" i="1"/>
  <c r="N64" i="1"/>
  <c r="N52" i="1"/>
  <c r="L78" i="1"/>
  <c r="M78" i="1"/>
  <c r="N78" i="1"/>
  <c r="L117" i="1"/>
  <c r="M117" i="1"/>
  <c r="N117" i="1"/>
  <c r="L30" i="1"/>
  <c r="M30" i="1"/>
  <c r="N30" i="1"/>
  <c r="L60" i="1"/>
  <c r="M60" i="1"/>
  <c r="N60" i="1"/>
  <c r="L118" i="1"/>
  <c r="M118" i="1"/>
  <c r="N118" i="1"/>
  <c r="L91" i="1"/>
  <c r="M91" i="1"/>
  <c r="N91" i="1"/>
  <c r="L47" i="1"/>
  <c r="M47" i="1"/>
  <c r="N47" i="1"/>
  <c r="L41" i="1"/>
  <c r="M41" i="1"/>
  <c r="N41" i="1"/>
  <c r="L18" i="1"/>
  <c r="M18" i="1"/>
  <c r="N18" i="1"/>
  <c r="L93" i="1"/>
  <c r="M93" i="1"/>
  <c r="N93" i="1"/>
  <c r="L119" i="1"/>
  <c r="M119" i="1"/>
  <c r="N119" i="1"/>
  <c r="L26" i="1"/>
  <c r="M26" i="1"/>
  <c r="N26" i="1"/>
  <c r="L3" i="1"/>
  <c r="M3" i="1"/>
  <c r="N3" i="1"/>
  <c r="L5" i="1"/>
  <c r="M5" i="1"/>
  <c r="N5" i="1"/>
  <c r="L120" i="1"/>
  <c r="M120" i="1"/>
  <c r="N120" i="1"/>
  <c r="L76" i="1"/>
  <c r="M76" i="1"/>
  <c r="N76" i="1"/>
  <c r="L54" i="1"/>
  <c r="M54" i="1"/>
  <c r="N54" i="1"/>
  <c r="L36" i="1"/>
  <c r="M36" i="1"/>
  <c r="N36" i="1"/>
  <c r="L33" i="1"/>
  <c r="M33" i="1"/>
  <c r="N33" i="1"/>
  <c r="L27" i="1"/>
  <c r="M27" i="1"/>
  <c r="N27" i="1"/>
  <c r="L44" i="1"/>
  <c r="M44" i="1"/>
  <c r="N44" i="1"/>
  <c r="L121" i="1"/>
  <c r="M121" i="1"/>
  <c r="N121" i="1"/>
  <c r="L17" i="1"/>
  <c r="M17" i="1"/>
  <c r="N17" i="1"/>
  <c r="L101" i="1"/>
  <c r="M101" i="1"/>
  <c r="N101" i="1"/>
  <c r="L57" i="1"/>
  <c r="M57" i="1"/>
  <c r="N57" i="1"/>
  <c r="L8" i="1"/>
  <c r="M8" i="1"/>
  <c r="N8" i="1"/>
  <c r="L90" i="1"/>
  <c r="M90" i="1"/>
  <c r="N90" i="1"/>
  <c r="L58" i="1"/>
  <c r="M58" i="1"/>
  <c r="N58" i="1"/>
  <c r="L69" i="1"/>
  <c r="M69" i="1"/>
  <c r="N69" i="1"/>
  <c r="L87" i="1"/>
  <c r="M87" i="1"/>
  <c r="N87" i="1"/>
  <c r="L22" i="1"/>
  <c r="M22" i="1"/>
  <c r="N22" i="1"/>
  <c r="L43" i="1"/>
  <c r="M43" i="1"/>
  <c r="N43" i="1"/>
  <c r="L39" i="1"/>
  <c r="M39" i="1"/>
  <c r="N39" i="1"/>
  <c r="L122" i="1"/>
  <c r="M122" i="1"/>
  <c r="N122" i="1"/>
  <c r="L56" i="1"/>
  <c r="M56" i="1"/>
  <c r="N56" i="1"/>
  <c r="L97" i="1"/>
  <c r="M97" i="1"/>
  <c r="N97" i="1"/>
  <c r="L94" i="1"/>
  <c r="M94" i="1"/>
  <c r="N94" i="1"/>
  <c r="L123" i="1"/>
  <c r="M123" i="1"/>
  <c r="N123" i="1"/>
  <c r="L75" i="1"/>
  <c r="M75" i="1"/>
  <c r="N75" i="1"/>
  <c r="L55" i="1"/>
  <c r="M55" i="1"/>
  <c r="N55" i="1"/>
  <c r="L48" i="1"/>
  <c r="M48" i="1"/>
  <c r="N48" i="1"/>
  <c r="L21" i="1"/>
  <c r="M21" i="1"/>
  <c r="N21" i="1"/>
  <c r="L66" i="1"/>
  <c r="M66" i="1"/>
  <c r="N66" i="1"/>
  <c r="L35" i="1"/>
  <c r="M35" i="1"/>
  <c r="N35" i="1"/>
  <c r="L42" i="1"/>
  <c r="M42" i="1"/>
  <c r="N42" i="1"/>
  <c r="M34" i="1"/>
  <c r="N34" i="1"/>
  <c r="L105" i="1"/>
  <c r="M105" i="1"/>
  <c r="N105" i="1"/>
  <c r="L92" i="1"/>
  <c r="M92" i="1"/>
  <c r="N92" i="1"/>
  <c r="L61" i="1"/>
  <c r="M61" i="1"/>
  <c r="N61" i="1"/>
  <c r="L28" i="1"/>
  <c r="M28" i="1"/>
  <c r="N28" i="1"/>
  <c r="L23" i="1"/>
  <c r="M23" i="1"/>
  <c r="N23" i="1"/>
  <c r="L7" i="1"/>
  <c r="M7" i="1"/>
  <c r="N7" i="1"/>
  <c r="L16" i="1"/>
  <c r="M16" i="1"/>
  <c r="N16" i="1"/>
  <c r="L106" i="1"/>
  <c r="M106" i="1"/>
  <c r="N106" i="1"/>
  <c r="L4" i="1"/>
  <c r="M4" i="1"/>
  <c r="L25" i="1"/>
  <c r="M25" i="1"/>
  <c r="N25" i="1"/>
  <c r="L107" i="1"/>
  <c r="M107" i="1"/>
  <c r="N107" i="1"/>
  <c r="L79" i="1"/>
  <c r="M79" i="1"/>
  <c r="N79" i="1"/>
  <c r="L71" i="1"/>
  <c r="M71" i="1"/>
  <c r="N71" i="1"/>
  <c r="L51" i="1"/>
  <c r="M51" i="1"/>
  <c r="N51" i="1"/>
  <c r="L31" i="1"/>
  <c r="M31" i="1"/>
  <c r="N31" i="1"/>
  <c r="L13" i="1"/>
  <c r="M13" i="1"/>
  <c r="N13" i="1"/>
  <c r="L6" i="1"/>
  <c r="M6" i="1"/>
  <c r="N6" i="1"/>
  <c r="L108" i="1"/>
  <c r="M108" i="1"/>
  <c r="N108" i="1"/>
  <c r="L20" i="1"/>
  <c r="M20" i="1"/>
  <c r="N20" i="1"/>
  <c r="L32" i="1"/>
  <c r="M32" i="1"/>
  <c r="N32" i="1"/>
  <c r="L102" i="1"/>
  <c r="N102" i="1"/>
  <c r="M102" i="1"/>
  <c r="R48" i="1" l="1"/>
  <c r="S48" i="1"/>
  <c r="S39" i="1"/>
  <c r="R39" i="1"/>
  <c r="R57" i="1"/>
  <c r="S57" i="1"/>
  <c r="S54" i="1"/>
  <c r="R54" i="1"/>
  <c r="R18" i="1"/>
  <c r="S18" i="1"/>
  <c r="R78" i="1"/>
  <c r="S78" i="1"/>
  <c r="R94" i="1"/>
  <c r="S94" i="1"/>
  <c r="R69" i="1"/>
  <c r="S69" i="1"/>
  <c r="R44" i="1"/>
  <c r="S44" i="1"/>
  <c r="R3" i="1"/>
  <c r="S3" i="1"/>
  <c r="S118" i="1"/>
  <c r="R118" i="1"/>
  <c r="R52" i="1"/>
  <c r="S52" i="1"/>
  <c r="R86" i="1"/>
  <c r="S86" i="1"/>
  <c r="S114" i="1"/>
  <c r="R114" i="1"/>
  <c r="R83" i="1"/>
  <c r="S83" i="1"/>
  <c r="S80" i="1"/>
  <c r="R80" i="1"/>
  <c r="S70" i="1"/>
  <c r="R70" i="1"/>
  <c r="R14" i="1"/>
  <c r="S14" i="1"/>
  <c r="S40" i="1"/>
  <c r="R40" i="1"/>
  <c r="S74" i="1"/>
  <c r="R74" i="1"/>
  <c r="R19" i="1"/>
  <c r="S19" i="1"/>
  <c r="R100" i="1"/>
  <c r="S100" i="1"/>
  <c r="R10" i="1"/>
  <c r="S10" i="1"/>
  <c r="S84" i="1"/>
  <c r="R84" i="1"/>
  <c r="R55" i="1"/>
  <c r="S55" i="1"/>
  <c r="R97" i="1"/>
  <c r="S97" i="1"/>
  <c r="S43" i="1"/>
  <c r="R43" i="1"/>
  <c r="R58" i="1"/>
  <c r="S58" i="1"/>
  <c r="R101" i="1"/>
  <c r="S101" i="1"/>
  <c r="R27" i="1"/>
  <c r="S27" i="1"/>
  <c r="S76" i="1"/>
  <c r="R76" i="1"/>
  <c r="R26" i="1"/>
  <c r="S26" i="1"/>
  <c r="S41" i="1"/>
  <c r="R41" i="1"/>
  <c r="R60" i="1"/>
  <c r="S60" i="1"/>
  <c r="S64" i="1"/>
  <c r="R64" i="1"/>
  <c r="S115" i="1"/>
  <c r="R115" i="1"/>
  <c r="S81" i="1"/>
  <c r="R81" i="1"/>
  <c r="S85" i="1"/>
  <c r="R85" i="1"/>
  <c r="R112" i="1"/>
  <c r="S112" i="1"/>
  <c r="R111" i="1"/>
  <c r="S111" i="1"/>
  <c r="R12" i="1"/>
  <c r="S12" i="1"/>
  <c r="R38" i="1"/>
  <c r="S38" i="1"/>
  <c r="S72" i="1"/>
  <c r="R72" i="1"/>
  <c r="R9" i="1"/>
  <c r="S9" i="1"/>
  <c r="R98" i="1"/>
  <c r="S98" i="1"/>
  <c r="S62" i="1"/>
  <c r="R62" i="1"/>
  <c r="R75" i="1"/>
  <c r="S75" i="1"/>
  <c r="R56" i="1"/>
  <c r="S56" i="1"/>
  <c r="R22" i="1"/>
  <c r="S22" i="1"/>
  <c r="S90" i="1"/>
  <c r="R90" i="1"/>
  <c r="R17" i="1"/>
  <c r="S17" i="1"/>
  <c r="R33" i="1"/>
  <c r="S33" i="1"/>
  <c r="R120" i="1"/>
  <c r="S120" i="1"/>
  <c r="S119" i="1"/>
  <c r="R119" i="1"/>
  <c r="R47" i="1"/>
  <c r="S47" i="1"/>
  <c r="S30" i="1"/>
  <c r="R30" i="1"/>
  <c r="R102" i="1"/>
  <c r="S102" i="1"/>
  <c r="S116" i="1"/>
  <c r="R116" i="1"/>
  <c r="R104" i="1"/>
  <c r="S104" i="1"/>
  <c r="S99" i="1"/>
  <c r="R99" i="1"/>
  <c r="R113" i="1"/>
  <c r="S113" i="1"/>
  <c r="S53" i="1"/>
  <c r="R53" i="1"/>
  <c r="S45" i="1"/>
  <c r="R45" i="1"/>
  <c r="R110" i="1"/>
  <c r="S110" i="1"/>
  <c r="S82" i="1"/>
  <c r="R82" i="1"/>
  <c r="R24" i="1"/>
  <c r="S24" i="1"/>
  <c r="R68" i="1"/>
  <c r="S68" i="1"/>
  <c r="R124" i="1"/>
  <c r="S124" i="1"/>
  <c r="R21" i="1"/>
  <c r="S21" i="1"/>
  <c r="R123" i="1"/>
  <c r="S123" i="1"/>
  <c r="R122" i="1"/>
  <c r="S122" i="1"/>
  <c r="R87" i="1"/>
  <c r="S87" i="1"/>
  <c r="R8" i="1"/>
  <c r="S8" i="1"/>
  <c r="R121" i="1"/>
  <c r="S121" i="1"/>
  <c r="S36" i="1"/>
  <c r="R36" i="1"/>
  <c r="S5" i="1"/>
  <c r="R5" i="1"/>
  <c r="R93" i="1"/>
  <c r="S93" i="1"/>
  <c r="R91" i="1"/>
  <c r="S91" i="1"/>
  <c r="S117" i="1"/>
  <c r="R117" i="1"/>
  <c r="S95" i="1"/>
  <c r="R95" i="1"/>
  <c r="S96" i="1"/>
  <c r="R96" i="1"/>
  <c r="R67" i="1"/>
  <c r="S67" i="1"/>
  <c r="S59" i="1"/>
  <c r="R59" i="1"/>
  <c r="S15" i="1"/>
  <c r="R15" i="1"/>
  <c r="S37" i="1"/>
  <c r="R37" i="1"/>
  <c r="S109" i="1"/>
  <c r="R109" i="1"/>
  <c r="R73" i="1"/>
  <c r="S73" i="1"/>
  <c r="S29" i="1"/>
  <c r="R29" i="1"/>
  <c r="R11" i="1"/>
  <c r="S11" i="1"/>
  <c r="S32" i="1"/>
  <c r="R32" i="1"/>
  <c r="R79" i="1"/>
  <c r="S79" i="1"/>
  <c r="R28" i="1"/>
  <c r="S28" i="1"/>
  <c r="S50" i="1"/>
  <c r="R50" i="1"/>
  <c r="S66" i="1"/>
  <c r="R66" i="1"/>
  <c r="R13" i="1"/>
  <c r="S13" i="1"/>
  <c r="S106" i="1"/>
  <c r="R106" i="1"/>
  <c r="S20" i="1"/>
  <c r="R20" i="1"/>
  <c r="R31" i="1"/>
  <c r="S31" i="1"/>
  <c r="S107" i="1"/>
  <c r="R107" i="1"/>
  <c r="S16" i="1"/>
  <c r="R16" i="1"/>
  <c r="R61" i="1"/>
  <c r="S61" i="1"/>
  <c r="S34" i="1"/>
  <c r="R34" i="1"/>
  <c r="S108" i="1"/>
  <c r="R108" i="1"/>
  <c r="S7" i="1"/>
  <c r="R7" i="1"/>
  <c r="R92" i="1"/>
  <c r="S92" i="1"/>
  <c r="S42" i="1"/>
  <c r="R42" i="1"/>
  <c r="S46" i="1"/>
  <c r="R46" i="1"/>
  <c r="R51" i="1"/>
  <c r="S51" i="1"/>
  <c r="S25" i="1"/>
  <c r="R25" i="1"/>
  <c r="R6" i="1"/>
  <c r="S6" i="1"/>
  <c r="S71" i="1"/>
  <c r="R71" i="1"/>
  <c r="S4" i="1"/>
  <c r="R4" i="1"/>
  <c r="R23" i="1"/>
  <c r="S23" i="1"/>
  <c r="S105" i="1"/>
  <c r="R105" i="1"/>
  <c r="S35" i="1"/>
  <c r="R35" i="1"/>
</calcChain>
</file>

<file path=xl/connections.xml><?xml version="1.0" encoding="utf-8"?>
<connections xmlns="http://schemas.openxmlformats.org/spreadsheetml/2006/main">
  <connection id="1" name="perlerbeads_key" type="4" refreshedVersion="0" background="1">
    <webPr xml="1" sourceData="1" parsePre="1" consecutive="1" url="C:\Users\knezu\Dropbox\BeadSpriteMachine\3. G-code Converter\perlerbeads_key.xml" htmlTables="1"/>
  </connection>
  <connection id="2" name="perlerbeads_key1" type="4" refreshedVersion="0" background="1">
    <webPr xml="1" sourceData="1" parsePre="1" consecutive="1" url="C:\Users\knezu\Dropbox\BeadSpriteMachine\3. G-code Converter\perlerbeads_key.xml" htmlTables="1"/>
  </connection>
  <connection id="3" name="perlerbeads_key2" type="4" refreshedVersion="0" background="1">
    <webPr xml="1" sourceData="1" parsePre="1" consecutive="1" url="C:\Users\knezu\Dropbox\BeadSpriteMachine\3. G-code Converter\perlerbeads_key.xml" htmlTables="1"/>
  </connection>
</connections>
</file>

<file path=xl/sharedStrings.xml><?xml version="1.0" encoding="utf-8"?>
<sst xmlns="http://schemas.openxmlformats.org/spreadsheetml/2006/main" count="471" uniqueCount="354">
  <si>
    <t>P01</t>
  </si>
  <si>
    <t>White</t>
  </si>
  <si>
    <t>247, 247, 242</t>
  </si>
  <si>
    <t>F7F7F2</t>
  </si>
  <si>
    <t>PERLER</t>
  </si>
  <si>
    <t>P81</t>
  </si>
  <si>
    <t>Light Gray</t>
  </si>
  <si>
    <t>190 195, 191</t>
  </si>
  <si>
    <t>BEC3BF</t>
  </si>
  <si>
    <t>P17</t>
  </si>
  <si>
    <t>Gray</t>
  </si>
  <si>
    <t>150, 152, 156</t>
  </si>
  <si>
    <t>96989C</t>
  </si>
  <si>
    <t>P206</t>
  </si>
  <si>
    <t>Pewter</t>
  </si>
  <si>
    <t>147, 161, 159</t>
  </si>
  <si>
    <t>93A19F</t>
  </si>
  <si>
    <t>P207</t>
  </si>
  <si>
    <t>Charcoal</t>
  </si>
  <si>
    <t>84, 95, 95</t>
  </si>
  <si>
    <t>545F5F</t>
  </si>
  <si>
    <t>P92</t>
  </si>
  <si>
    <t>Dark Gray</t>
  </si>
  <si>
    <t>86, 87, 92</t>
  </si>
  <si>
    <t>56575C</t>
  </si>
  <si>
    <t>P18</t>
  </si>
  <si>
    <t>Black</t>
  </si>
  <si>
    <t>52, 50, 52</t>
  </si>
  <si>
    <t>P208</t>
  </si>
  <si>
    <t>Toasted Marshmallow</t>
  </si>
  <si>
    <t>F1E5D8</t>
  </si>
  <si>
    <t>P98</t>
  </si>
  <si>
    <t>Sand</t>
  </si>
  <si>
    <t>EAC49F</t>
  </si>
  <si>
    <t>P205</t>
  </si>
  <si>
    <t>Fawn</t>
  </si>
  <si>
    <t>D7B087</t>
  </si>
  <si>
    <t>P35</t>
  </si>
  <si>
    <t>Tan</t>
  </si>
  <si>
    <t>CFA889</t>
  </si>
  <si>
    <t>P20</t>
  </si>
  <si>
    <t>Rust</t>
  </si>
  <si>
    <t>160,78,63</t>
  </si>
  <si>
    <t>A04E3F</t>
  </si>
  <si>
    <t>P96</t>
  </si>
  <si>
    <t>Cranapple</t>
  </si>
  <si>
    <t>136,64,79</t>
  </si>
  <si>
    <t>88404F</t>
  </si>
  <si>
    <t>P21</t>
  </si>
  <si>
    <t>Light Brown</t>
  </si>
  <si>
    <t>164,123,71</t>
  </si>
  <si>
    <t>9D7153</t>
  </si>
  <si>
    <t>P12</t>
  </si>
  <si>
    <t>Brown</t>
  </si>
  <si>
    <t>108,82,77</t>
  </si>
  <si>
    <t>6C524D</t>
  </si>
  <si>
    <t>P02</t>
  </si>
  <si>
    <t>Cream</t>
  </si>
  <si>
    <t>EDE7BA</t>
  </si>
  <si>
    <t>P56</t>
  </si>
  <si>
    <t>Pastel Yellow</t>
  </si>
  <si>
    <t>FAEE8D</t>
  </si>
  <si>
    <t>P03</t>
  </si>
  <si>
    <t>Yellow</t>
  </si>
  <si>
    <t>249,215,55</t>
  </si>
  <si>
    <t>F9D737</t>
  </si>
  <si>
    <t>P57</t>
  </si>
  <si>
    <t>Cheddar</t>
  </si>
  <si>
    <t>255,182,78</t>
  </si>
  <si>
    <t>FFB64E</t>
  </si>
  <si>
    <t>P04</t>
  </si>
  <si>
    <t>Orange</t>
  </si>
  <si>
    <t>255,128,62</t>
  </si>
  <si>
    <t>FF803E</t>
  </si>
  <si>
    <t>P90</t>
  </si>
  <si>
    <t>Butterscotch</t>
  </si>
  <si>
    <t>225,154,82</t>
  </si>
  <si>
    <t>E19A52</t>
  </si>
  <si>
    <t>P59</t>
  </si>
  <si>
    <t>Hot Coral</t>
  </si>
  <si>
    <t>255,97,88</t>
  </si>
  <si>
    <t>FF6158</t>
  </si>
  <si>
    <t>P203</t>
  </si>
  <si>
    <t>Salmon</t>
  </si>
  <si>
    <t>FF777F</t>
  </si>
  <si>
    <t>P63</t>
  </si>
  <si>
    <t>Blush</t>
  </si>
  <si>
    <t>FF9E8D</t>
  </si>
  <si>
    <t>P204</t>
  </si>
  <si>
    <t>Flamingo</t>
  </si>
  <si>
    <t>FFB5BE</t>
  </si>
  <si>
    <t>P33</t>
  </si>
  <si>
    <t>Peach</t>
  </si>
  <si>
    <t>FCC6B8</t>
  </si>
  <si>
    <t>P79</t>
  </si>
  <si>
    <t>Light Pink</t>
  </si>
  <si>
    <t>F5C0D5</t>
  </si>
  <si>
    <t>P06</t>
  </si>
  <si>
    <t>Bubble Gum</t>
  </si>
  <si>
    <t>E16D9D</t>
  </si>
  <si>
    <t>P83</t>
  </si>
  <si>
    <t>Pink</t>
  </si>
  <si>
    <t>230,87,148</t>
  </si>
  <si>
    <t>E65794</t>
  </si>
  <si>
    <t>P38</t>
  </si>
  <si>
    <t>Magenta</t>
  </si>
  <si>
    <t>243,70,118</t>
  </si>
  <si>
    <t>F34676</t>
  </si>
  <si>
    <t>P05</t>
  </si>
  <si>
    <t>Red</t>
  </si>
  <si>
    <t>196,58,68</t>
  </si>
  <si>
    <t>C43A44</t>
  </si>
  <si>
    <t>P961</t>
  </si>
  <si>
    <t>Cherry</t>
  </si>
  <si>
    <t>173,51,69</t>
  </si>
  <si>
    <t>AD3345</t>
  </si>
  <si>
    <t>P88</t>
  </si>
  <si>
    <t>Raspberry</t>
  </si>
  <si>
    <t>173,60,108</t>
  </si>
  <si>
    <t>AD3C6C</t>
  </si>
  <si>
    <t>P60</t>
  </si>
  <si>
    <t>Plum</t>
  </si>
  <si>
    <t>178,95,170</t>
  </si>
  <si>
    <t>B25FAA</t>
  </si>
  <si>
    <t>P82</t>
  </si>
  <si>
    <t>Light Lavender</t>
  </si>
  <si>
    <t>B4A6D3</t>
  </si>
  <si>
    <t>P54</t>
  </si>
  <si>
    <t>Pastel Lavender</t>
  </si>
  <si>
    <t>9582BB</t>
  </si>
  <si>
    <t>P07</t>
  </si>
  <si>
    <t>Purple</t>
  </si>
  <si>
    <t>111,84,147</t>
  </si>
  <si>
    <t>6F5493</t>
  </si>
  <si>
    <t>p93</t>
  </si>
  <si>
    <t>Blueberry Crème</t>
  </si>
  <si>
    <t>87A7E1</t>
  </si>
  <si>
    <t>P70</t>
  </si>
  <si>
    <t>Periwinkle</t>
  </si>
  <si>
    <t>6C88BF</t>
  </si>
  <si>
    <t>P202</t>
  </si>
  <si>
    <t>Robin's Egg</t>
  </si>
  <si>
    <t>B4D9DF</t>
  </si>
  <si>
    <t>P52</t>
  </si>
  <si>
    <t>Pastel Blue</t>
  </si>
  <si>
    <t>63A9D6</t>
  </si>
  <si>
    <t>P09</t>
  </si>
  <si>
    <t>Light Blue</t>
  </si>
  <si>
    <t>278ACB</t>
  </si>
  <si>
    <t>P200</t>
  </si>
  <si>
    <t>Cobalt</t>
  </si>
  <si>
    <t>0, 102, 179</t>
  </si>
  <si>
    <t>0066B3</t>
  </si>
  <si>
    <t>P08</t>
  </si>
  <si>
    <t>Dark Blue</t>
  </si>
  <si>
    <t>43,48,124</t>
  </si>
  <si>
    <t>2B307C</t>
  </si>
  <si>
    <t>P201</t>
  </si>
  <si>
    <t>Midnight</t>
  </si>
  <si>
    <t>22,40,70</t>
  </si>
  <si>
    <t>P58</t>
  </si>
  <si>
    <t>Toothpaste</t>
  </si>
  <si>
    <t>B0E8D5</t>
  </si>
  <si>
    <t>P62</t>
  </si>
  <si>
    <t>Turquoise</t>
  </si>
  <si>
    <t>0, 143, 204</t>
  </si>
  <si>
    <t>008FCC</t>
  </si>
  <si>
    <t>P11</t>
  </si>
  <si>
    <t>Light Green</t>
  </si>
  <si>
    <t>38C7AF</t>
  </si>
  <si>
    <t>P91</t>
  </si>
  <si>
    <t>Parrot Green</t>
  </si>
  <si>
    <t>0, 150, 138</t>
  </si>
  <si>
    <t>00968A</t>
  </si>
  <si>
    <t>P53</t>
  </si>
  <si>
    <t>Pastel Green</t>
  </si>
  <si>
    <t>73D594</t>
  </si>
  <si>
    <t>P61</t>
  </si>
  <si>
    <t>Kiwi Lime</t>
  </si>
  <si>
    <t>119,202,74</t>
  </si>
  <si>
    <t>77CA4A</t>
  </si>
  <si>
    <t>P80</t>
  </si>
  <si>
    <t>Bright Green</t>
  </si>
  <si>
    <t>84,177,96</t>
  </si>
  <si>
    <t>54B160</t>
  </si>
  <si>
    <t>P99</t>
  </si>
  <si>
    <t>Shamrock</t>
  </si>
  <si>
    <t>0, 150, 84</t>
  </si>
  <si>
    <t>P10</t>
  </si>
  <si>
    <t>Dark Green</t>
  </si>
  <si>
    <t>16,131,85</t>
  </si>
  <si>
    <t>P97</t>
  </si>
  <si>
    <t>Prickly Pear</t>
  </si>
  <si>
    <t>203,215,53</t>
  </si>
  <si>
    <t>CBD735</t>
  </si>
  <si>
    <t>P179</t>
  </si>
  <si>
    <t>Evergreen</t>
  </si>
  <si>
    <t>60,97,79</t>
  </si>
  <si>
    <t>3C614F</t>
  </si>
  <si>
    <t>P49</t>
  </si>
  <si>
    <t>Neon Green</t>
  </si>
  <si>
    <t>0,172,74</t>
  </si>
  <si>
    <t>00AC4A</t>
  </si>
  <si>
    <t>P47</t>
  </si>
  <si>
    <t>Neon Yellow</t>
  </si>
  <si>
    <t>189,210,0</t>
  </si>
  <si>
    <t>BDD200</t>
  </si>
  <si>
    <t>P50</t>
  </si>
  <si>
    <t>Neon Pink</t>
  </si>
  <si>
    <t>241,82,137</t>
  </si>
  <si>
    <t>F15289</t>
  </si>
  <si>
    <t>P48</t>
  </si>
  <si>
    <t>Neon Orange</t>
  </si>
  <si>
    <t>255,141,46</t>
  </si>
  <si>
    <t>FF8D2E</t>
  </si>
  <si>
    <t>P??</t>
  </si>
  <si>
    <t>Neon Blue</t>
  </si>
  <si>
    <t>34,85,183</t>
  </si>
  <si>
    <t>P105</t>
  </si>
  <si>
    <t>Silver</t>
  </si>
  <si>
    <t>777B81</t>
  </si>
  <si>
    <t>P85</t>
  </si>
  <si>
    <t>Gold</t>
  </si>
  <si>
    <t>181,127,69</t>
  </si>
  <si>
    <t>B57F45</t>
  </si>
  <si>
    <t>Copper</t>
  </si>
  <si>
    <t>151,99,78</t>
  </si>
  <si>
    <t>97634E</t>
  </si>
  <si>
    <t>Pearl</t>
  </si>
  <si>
    <t>216, 214, 199</t>
  </si>
  <si>
    <t>D8D6C7</t>
  </si>
  <si>
    <t>Pearl Pink</t>
  </si>
  <si>
    <t>227, 123, 173</t>
  </si>
  <si>
    <t>e37bad</t>
  </si>
  <si>
    <t>P104</t>
  </si>
  <si>
    <t>Pearl Light Pink</t>
  </si>
  <si>
    <t>CCA49B</t>
  </si>
  <si>
    <t>P100</t>
  </si>
  <si>
    <t>Pearl Coral</t>
  </si>
  <si>
    <t>E99591</t>
  </si>
  <si>
    <t>P103</t>
  </si>
  <si>
    <t>Pearl Yellow</t>
  </si>
  <si>
    <t>D1C66E</t>
  </si>
  <si>
    <t>p102</t>
  </si>
  <si>
    <t>Pearl Green</t>
  </si>
  <si>
    <t>84B095</t>
  </si>
  <si>
    <t>P101</t>
  </si>
  <si>
    <t>Pearl Light Blue</t>
  </si>
  <si>
    <t>7AAEA2</t>
  </si>
  <si>
    <t>Red Glitter</t>
  </si>
  <si>
    <t>157,56,46</t>
  </si>
  <si>
    <t>9D382E</t>
  </si>
  <si>
    <t>Blue Glitter</t>
  </si>
  <si>
    <t>0069C0</t>
  </si>
  <si>
    <t>Purple Glitter</t>
  </si>
  <si>
    <t>105,65,132</t>
  </si>
  <si>
    <t>Yellow Glitter</t>
  </si>
  <si>
    <t>186,180,86</t>
  </si>
  <si>
    <t>BAB456</t>
  </si>
  <si>
    <t>Green Glitter</t>
  </si>
  <si>
    <t>00876E</t>
  </si>
  <si>
    <t>Clear Glitter</t>
  </si>
  <si>
    <t>A6A9B1</t>
  </si>
  <si>
    <t>Black Glitter</t>
  </si>
  <si>
    <t>56,55,55</t>
  </si>
  <si>
    <t>White Glitter</t>
  </si>
  <si>
    <t>D0DBDE</t>
  </si>
  <si>
    <t>Pink Glitter</t>
  </si>
  <si>
    <t>226,88,127</t>
  </si>
  <si>
    <t>E2587F</t>
  </si>
  <si>
    <t>Fairy Dust</t>
  </si>
  <si>
    <t>9BAF9E</t>
  </si>
  <si>
    <t>Kiwi Glitter</t>
  </si>
  <si>
    <t>85,158,69</t>
  </si>
  <si>
    <t>Clear</t>
  </si>
  <si>
    <t>9EA7AE</t>
  </si>
  <si>
    <t>Clear Blue</t>
  </si>
  <si>
    <t>7CD2F2</t>
  </si>
  <si>
    <t>Transparent Turquoise</t>
  </si>
  <si>
    <t>0, 110, 141</t>
  </si>
  <si>
    <t>006d8b</t>
  </si>
  <si>
    <t>P75</t>
  </si>
  <si>
    <t>Glow Green</t>
  </si>
  <si>
    <t>AFC39D</t>
  </si>
  <si>
    <t>Glow Blue</t>
  </si>
  <si>
    <t>56ACBE</t>
  </si>
  <si>
    <t>Glow Pink</t>
  </si>
  <si>
    <t>EE75A8</t>
  </si>
  <si>
    <t>Glow Purple</t>
  </si>
  <si>
    <t>AE66B1</t>
  </si>
  <si>
    <t>Glow Orange</t>
  </si>
  <si>
    <t>EAAF6F</t>
  </si>
  <si>
    <t>Sherbert</t>
  </si>
  <si>
    <t>225, 238, 125</t>
  </si>
  <si>
    <t>E1EE7D</t>
  </si>
  <si>
    <t>Fern</t>
  </si>
  <si>
    <t>123, 151, 48</t>
  </si>
  <si>
    <t>7B9730</t>
  </si>
  <si>
    <t>Olive</t>
  </si>
  <si>
    <t>115, 117, 62</t>
  </si>
  <si>
    <t>72763E</t>
  </si>
  <si>
    <t>Mist</t>
  </si>
  <si>
    <t>156, 185, 199</t>
  </si>
  <si>
    <t>9cb9c7</t>
  </si>
  <si>
    <t>Sky</t>
  </si>
  <si>
    <t>84, 205, 227</t>
  </si>
  <si>
    <t>54CDE3</t>
  </si>
  <si>
    <t>Lagoon</t>
  </si>
  <si>
    <t>0, 171, 178</t>
  </si>
  <si>
    <t>00ABB2</t>
  </si>
  <si>
    <t>Apricot</t>
  </si>
  <si>
    <t>255, 169, 103</t>
  </si>
  <si>
    <t>FFA967</t>
  </si>
  <si>
    <t>Orchid</t>
  </si>
  <si>
    <t>181,108, 153</t>
  </si>
  <si>
    <t>B56C99</t>
  </si>
  <si>
    <t>Spice</t>
  </si>
  <si>
    <t>227, 92, 68</t>
  </si>
  <si>
    <t>E35C44</t>
  </si>
  <si>
    <t>Tomato</t>
  </si>
  <si>
    <t>234, 66, 66</t>
  </si>
  <si>
    <t>EA4241</t>
  </si>
  <si>
    <t>Teal</t>
  </si>
  <si>
    <t>54, 141, 151</t>
  </si>
  <si>
    <t>368D97</t>
  </si>
  <si>
    <t>2255B7</t>
  </si>
  <si>
    <t>559E45</t>
  </si>
  <si>
    <t>P300</t>
  </si>
  <si>
    <t>P301</t>
  </si>
  <si>
    <t>P302</t>
  </si>
  <si>
    <t>P303</t>
  </si>
  <si>
    <t>P999</t>
  </si>
  <si>
    <t>RANDOM</t>
  </si>
  <si>
    <t>CLEAR</t>
  </si>
  <si>
    <t>P998</t>
  </si>
  <si>
    <t>P310</t>
  </si>
  <si>
    <t>SAMPLE PIXEL</t>
  </si>
  <si>
    <t>Index</t>
  </si>
  <si>
    <t>Color Name</t>
  </si>
  <si>
    <t>Color Index</t>
  </si>
  <si>
    <t>count</t>
  </si>
  <si>
    <t>Count</t>
  </si>
  <si>
    <t>index</t>
  </si>
  <si>
    <t>P#</t>
  </si>
  <si>
    <t>#</t>
  </si>
  <si>
    <t>name</t>
  </si>
  <si>
    <t>R</t>
  </si>
  <si>
    <t>G</t>
  </si>
  <si>
    <t>B</t>
  </si>
  <si>
    <t>RGB</t>
  </si>
  <si>
    <t>HEX</t>
  </si>
  <si>
    <t>CLOSE1</t>
  </si>
  <si>
    <t>CLOSE2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</si>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</sst>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Arial"/>
      <family val="2"/>
    </font>
    <font>
      <sz val="10"/>
      <color rgb="FFFFFFFF"/>
      <name val="Calibri"/>
      <family val="2"/>
    </font>
    <font>
      <sz val="10"/>
      <color rgb="FFF3F3F3"/>
      <name val="Calibri"/>
      <family val="2"/>
    </font>
    <font>
      <sz val="10"/>
      <color rgb="FFEFEFEF"/>
      <name val="Calibri"/>
      <family val="2"/>
    </font>
    <font>
      <sz val="10"/>
      <color rgb="FFFFFFFF"/>
      <name val="Arial"/>
      <family val="2"/>
    </font>
    <font>
      <b/>
      <sz val="14"/>
      <color theme="1"/>
      <name val="Calibri"/>
      <family val="2"/>
      <scheme val="minor"/>
    </font>
  </fonts>
  <fills count="10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F7F2"/>
        <bgColor indexed="64"/>
      </patternFill>
    </fill>
    <fill>
      <patternFill patternType="solid">
        <fgColor rgb="FFBEC3BF"/>
        <bgColor indexed="64"/>
      </patternFill>
    </fill>
    <fill>
      <patternFill patternType="solid">
        <fgColor rgb="FF96989C"/>
        <bgColor indexed="64"/>
      </patternFill>
    </fill>
    <fill>
      <patternFill patternType="solid">
        <fgColor rgb="FF93A19F"/>
        <bgColor indexed="64"/>
      </patternFill>
    </fill>
    <fill>
      <patternFill patternType="solid">
        <fgColor rgb="FF545F5F"/>
        <bgColor indexed="64"/>
      </patternFill>
    </fill>
    <fill>
      <patternFill patternType="solid">
        <fgColor rgb="FF56575C"/>
        <bgColor indexed="64"/>
      </patternFill>
    </fill>
    <fill>
      <patternFill patternType="solid">
        <fgColor rgb="FF343234"/>
        <bgColor indexed="64"/>
      </patternFill>
    </fill>
    <fill>
      <patternFill patternType="solid">
        <fgColor rgb="FFF1E5D8"/>
        <bgColor indexed="64"/>
      </patternFill>
    </fill>
    <fill>
      <patternFill patternType="solid">
        <fgColor rgb="FFEAC49F"/>
        <bgColor indexed="64"/>
      </patternFill>
    </fill>
    <fill>
      <patternFill patternType="solid">
        <fgColor rgb="FFD2B394"/>
        <bgColor indexed="64"/>
      </patternFill>
    </fill>
    <fill>
      <patternFill patternType="solid">
        <fgColor rgb="FFCFA889"/>
        <bgColor indexed="64"/>
      </patternFill>
    </fill>
    <fill>
      <patternFill patternType="solid">
        <fgColor rgb="FFA04E3F"/>
        <bgColor indexed="64"/>
      </patternFill>
    </fill>
    <fill>
      <patternFill patternType="solid">
        <fgColor rgb="FF88404F"/>
        <bgColor indexed="64"/>
      </patternFill>
    </fill>
    <fill>
      <patternFill patternType="solid">
        <fgColor rgb="FF9D7153"/>
        <bgColor indexed="64"/>
      </patternFill>
    </fill>
    <fill>
      <patternFill patternType="solid">
        <fgColor rgb="FF6C524D"/>
        <bgColor indexed="64"/>
      </patternFill>
    </fill>
    <fill>
      <patternFill patternType="solid">
        <fgColor rgb="FFEDE7BA"/>
        <bgColor indexed="64"/>
      </patternFill>
    </fill>
    <fill>
      <patternFill patternType="solid">
        <fgColor rgb="FFFAEE8D"/>
        <bgColor indexed="64"/>
      </patternFill>
    </fill>
    <fill>
      <patternFill patternType="solid">
        <fgColor rgb="FFF9D737"/>
        <bgColor indexed="64"/>
      </patternFill>
    </fill>
    <fill>
      <patternFill patternType="solid">
        <fgColor rgb="FFFFB64E"/>
        <bgColor indexed="64"/>
      </patternFill>
    </fill>
    <fill>
      <patternFill patternType="solid">
        <fgColor rgb="FFFF803E"/>
        <bgColor indexed="64"/>
      </patternFill>
    </fill>
    <fill>
      <patternFill patternType="solid">
        <fgColor rgb="FFE19A52"/>
        <bgColor indexed="64"/>
      </patternFill>
    </fill>
    <fill>
      <patternFill patternType="solid">
        <fgColor rgb="FFFF6158"/>
        <bgColor indexed="64"/>
      </patternFill>
    </fill>
    <fill>
      <patternFill patternType="solid">
        <fgColor rgb="FFFF777F"/>
        <bgColor indexed="64"/>
      </patternFill>
    </fill>
    <fill>
      <patternFill patternType="solid">
        <fgColor rgb="FFFF9E8D"/>
        <bgColor indexed="64"/>
      </patternFill>
    </fill>
    <fill>
      <patternFill patternType="solid">
        <fgColor rgb="FFFFB5BE"/>
        <bgColor indexed="64"/>
      </patternFill>
    </fill>
    <fill>
      <patternFill patternType="solid">
        <fgColor rgb="FFFCC6B8"/>
        <bgColor indexed="64"/>
      </patternFill>
    </fill>
    <fill>
      <patternFill patternType="solid">
        <fgColor rgb="FFF5C0D5"/>
        <bgColor indexed="64"/>
      </patternFill>
    </fill>
    <fill>
      <patternFill patternType="solid">
        <fgColor rgb="FFE16D9D"/>
        <bgColor indexed="64"/>
      </patternFill>
    </fill>
    <fill>
      <patternFill patternType="solid">
        <fgColor rgb="FFE65794"/>
        <bgColor indexed="64"/>
      </patternFill>
    </fill>
    <fill>
      <patternFill patternType="solid">
        <fgColor rgb="FFF34676"/>
        <bgColor indexed="64"/>
      </patternFill>
    </fill>
    <fill>
      <patternFill patternType="solid">
        <fgColor rgb="FFC43A44"/>
        <bgColor indexed="64"/>
      </patternFill>
    </fill>
    <fill>
      <patternFill patternType="solid">
        <fgColor rgb="FFAD3345"/>
        <bgColor indexed="64"/>
      </patternFill>
    </fill>
    <fill>
      <patternFill patternType="solid">
        <fgColor rgb="FFAD3C6C"/>
        <bgColor indexed="64"/>
      </patternFill>
    </fill>
    <fill>
      <patternFill patternType="solid">
        <fgColor rgb="FFB25FAA"/>
        <bgColor indexed="64"/>
      </patternFill>
    </fill>
    <fill>
      <patternFill patternType="solid">
        <fgColor rgb="FFB4A6D3"/>
        <bgColor indexed="64"/>
      </patternFill>
    </fill>
    <fill>
      <patternFill patternType="solid">
        <fgColor rgb="FF9582BB"/>
        <bgColor indexed="64"/>
      </patternFill>
    </fill>
    <fill>
      <patternFill patternType="solid">
        <fgColor rgb="FF6F5493"/>
        <bgColor indexed="64"/>
      </patternFill>
    </fill>
    <fill>
      <patternFill patternType="solid">
        <fgColor rgb="FF87A7E1"/>
        <bgColor indexed="64"/>
      </patternFill>
    </fill>
    <fill>
      <patternFill patternType="solid">
        <fgColor rgb="FF6C88BF"/>
        <bgColor indexed="64"/>
      </patternFill>
    </fill>
    <fill>
      <patternFill patternType="solid">
        <fgColor rgb="FFB4D9DF"/>
        <bgColor indexed="64"/>
      </patternFill>
    </fill>
    <fill>
      <patternFill patternType="solid">
        <fgColor rgb="FF63A9D6"/>
        <bgColor indexed="64"/>
      </patternFill>
    </fill>
    <fill>
      <patternFill patternType="solid">
        <fgColor rgb="FF278ACB"/>
        <bgColor indexed="64"/>
      </patternFill>
    </fill>
    <fill>
      <patternFill patternType="solid">
        <fgColor rgb="FF0066B3"/>
        <bgColor indexed="64"/>
      </patternFill>
    </fill>
    <fill>
      <patternFill patternType="solid">
        <fgColor rgb="FF274B95"/>
        <bgColor indexed="64"/>
      </patternFill>
    </fill>
    <fill>
      <patternFill patternType="solid">
        <fgColor rgb="FF333A56"/>
        <bgColor indexed="64"/>
      </patternFill>
    </fill>
    <fill>
      <patternFill patternType="solid">
        <fgColor rgb="FFB0E8D5"/>
        <bgColor indexed="64"/>
      </patternFill>
    </fill>
    <fill>
      <patternFill patternType="solid">
        <fgColor rgb="FF009DCA"/>
        <bgColor indexed="64"/>
      </patternFill>
    </fill>
    <fill>
      <patternFill patternType="solid">
        <fgColor rgb="FF38C7AF"/>
        <bgColor indexed="64"/>
      </patternFill>
    </fill>
    <fill>
      <patternFill patternType="solid">
        <fgColor rgb="FF00968A"/>
        <bgColor indexed="64"/>
      </patternFill>
    </fill>
    <fill>
      <patternFill patternType="solid">
        <fgColor rgb="FF73D594"/>
        <bgColor indexed="64"/>
      </patternFill>
    </fill>
    <fill>
      <patternFill patternType="solid">
        <fgColor rgb="FF77CA4A"/>
        <bgColor indexed="64"/>
      </patternFill>
    </fill>
    <fill>
      <patternFill patternType="solid">
        <fgColor rgb="FF54B160"/>
        <bgColor indexed="64"/>
      </patternFill>
    </fill>
    <fill>
      <patternFill patternType="solid">
        <fgColor rgb="FF009654"/>
        <bgColor indexed="64"/>
      </patternFill>
    </fill>
    <fill>
      <patternFill patternType="solid">
        <fgColor rgb="FF108355"/>
        <bgColor indexed="64"/>
      </patternFill>
    </fill>
    <fill>
      <patternFill patternType="solid">
        <fgColor rgb="FFCBD735"/>
        <bgColor indexed="64"/>
      </patternFill>
    </fill>
    <fill>
      <patternFill patternType="solid">
        <fgColor rgb="FF3C614F"/>
        <bgColor indexed="64"/>
      </patternFill>
    </fill>
    <fill>
      <patternFill patternType="solid">
        <fgColor rgb="FF00AC4A"/>
        <bgColor indexed="64"/>
      </patternFill>
    </fill>
    <fill>
      <patternFill patternType="solid">
        <fgColor rgb="FFBDD200"/>
        <bgColor indexed="64"/>
      </patternFill>
    </fill>
    <fill>
      <patternFill patternType="solid">
        <fgColor rgb="FFF15289"/>
        <bgColor indexed="64"/>
      </patternFill>
    </fill>
    <fill>
      <patternFill patternType="solid">
        <fgColor rgb="FFFF8D2E"/>
        <bgColor indexed="64"/>
      </patternFill>
    </fill>
    <fill>
      <patternFill patternType="solid">
        <fgColor rgb="FF2255B7"/>
        <bgColor indexed="64"/>
      </patternFill>
    </fill>
    <fill>
      <patternFill patternType="solid">
        <fgColor rgb="FF777B81"/>
        <bgColor indexed="64"/>
      </patternFill>
    </fill>
    <fill>
      <patternFill patternType="solid">
        <fgColor rgb="FFB57F45"/>
        <bgColor indexed="64"/>
      </patternFill>
    </fill>
    <fill>
      <patternFill patternType="solid">
        <fgColor rgb="FF97634E"/>
        <bgColor indexed="64"/>
      </patternFill>
    </fill>
    <fill>
      <patternFill patternType="solid">
        <fgColor rgb="FFD8D6C7"/>
        <bgColor indexed="64"/>
      </patternFill>
    </fill>
    <fill>
      <patternFill patternType="solid">
        <fgColor rgb="FFE37BAD"/>
        <bgColor indexed="64"/>
      </patternFill>
    </fill>
    <fill>
      <patternFill patternType="solid">
        <fgColor rgb="FFCCA49B"/>
        <bgColor indexed="64"/>
      </patternFill>
    </fill>
    <fill>
      <patternFill patternType="solid">
        <fgColor rgb="FFE99591"/>
        <bgColor indexed="64"/>
      </patternFill>
    </fill>
    <fill>
      <patternFill patternType="solid">
        <fgColor rgb="FFD1C66E"/>
        <bgColor indexed="64"/>
      </patternFill>
    </fill>
    <fill>
      <patternFill patternType="solid">
        <fgColor rgb="FF84B791"/>
        <bgColor indexed="64"/>
      </patternFill>
    </fill>
    <fill>
      <patternFill patternType="solid">
        <fgColor rgb="FF84B095"/>
        <bgColor indexed="64"/>
      </patternFill>
    </fill>
    <fill>
      <patternFill patternType="solid">
        <fgColor rgb="FF7AAEA2"/>
        <bgColor indexed="64"/>
      </patternFill>
    </fill>
    <fill>
      <patternFill patternType="solid">
        <fgColor rgb="FF9D382E"/>
        <bgColor indexed="64"/>
      </patternFill>
    </fill>
    <fill>
      <patternFill patternType="solid">
        <fgColor rgb="FF0069C0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BAB456"/>
        <bgColor indexed="64"/>
      </patternFill>
    </fill>
    <fill>
      <patternFill patternType="solid">
        <fgColor rgb="FF00876E"/>
        <bgColor indexed="64"/>
      </patternFill>
    </fill>
    <fill>
      <patternFill patternType="solid">
        <fgColor rgb="FFA6A9B1"/>
        <bgColor indexed="64"/>
      </patternFill>
    </fill>
    <fill>
      <patternFill patternType="solid">
        <fgColor rgb="FF383737"/>
        <bgColor indexed="64"/>
      </patternFill>
    </fill>
    <fill>
      <patternFill patternType="solid">
        <fgColor rgb="FFD0DBDE"/>
        <bgColor indexed="64"/>
      </patternFill>
    </fill>
    <fill>
      <patternFill patternType="solid">
        <fgColor rgb="FFE2587F"/>
        <bgColor indexed="64"/>
      </patternFill>
    </fill>
    <fill>
      <patternFill patternType="solid">
        <fgColor rgb="FF9BAF9E"/>
        <bgColor indexed="64"/>
      </patternFill>
    </fill>
    <fill>
      <patternFill patternType="solid">
        <fgColor rgb="FF559E43"/>
        <bgColor indexed="64"/>
      </patternFill>
    </fill>
    <fill>
      <patternFill patternType="solid">
        <fgColor rgb="FF9EA7AE"/>
        <bgColor indexed="64"/>
      </patternFill>
    </fill>
    <fill>
      <patternFill patternType="solid">
        <fgColor rgb="FF8DCAD8"/>
        <bgColor indexed="64"/>
      </patternFill>
    </fill>
    <fill>
      <patternFill patternType="solid">
        <fgColor rgb="FF006D8B"/>
        <bgColor indexed="64"/>
      </patternFill>
    </fill>
    <fill>
      <patternFill patternType="solid">
        <fgColor rgb="FFAFC39D"/>
        <bgColor indexed="64"/>
      </patternFill>
    </fill>
    <fill>
      <patternFill patternType="solid">
        <fgColor rgb="FF56ACBE"/>
        <bgColor indexed="64"/>
      </patternFill>
    </fill>
    <fill>
      <patternFill patternType="solid">
        <fgColor rgb="FFEE75A8"/>
        <bgColor indexed="64"/>
      </patternFill>
    </fill>
    <fill>
      <patternFill patternType="solid">
        <fgColor rgb="FFAE66B1"/>
        <bgColor indexed="64"/>
      </patternFill>
    </fill>
    <fill>
      <patternFill patternType="solid">
        <fgColor rgb="FFEAAF6F"/>
        <bgColor indexed="64"/>
      </patternFill>
    </fill>
    <fill>
      <patternFill patternType="solid">
        <fgColor rgb="FFE1EE7D"/>
        <bgColor indexed="64"/>
      </patternFill>
    </fill>
    <fill>
      <patternFill patternType="solid">
        <fgColor rgb="FF7B9730"/>
        <bgColor indexed="64"/>
      </patternFill>
    </fill>
    <fill>
      <patternFill patternType="solid">
        <fgColor rgb="FF73753E"/>
        <bgColor indexed="64"/>
      </patternFill>
    </fill>
    <fill>
      <patternFill patternType="solid">
        <fgColor rgb="FF72763E"/>
        <bgColor indexed="64"/>
      </patternFill>
    </fill>
    <fill>
      <patternFill patternType="solid">
        <fgColor rgb="FF9CB9C7"/>
        <bgColor indexed="64"/>
      </patternFill>
    </fill>
    <fill>
      <patternFill patternType="solid">
        <fgColor rgb="FF54CDE3"/>
        <bgColor indexed="64"/>
      </patternFill>
    </fill>
    <fill>
      <patternFill patternType="solid">
        <fgColor rgb="FF00ABB2"/>
        <bgColor indexed="64"/>
      </patternFill>
    </fill>
    <fill>
      <patternFill patternType="solid">
        <fgColor rgb="FFFFA967"/>
        <bgColor indexed="64"/>
      </patternFill>
    </fill>
    <fill>
      <patternFill patternType="solid">
        <fgColor rgb="FFB56C99"/>
        <bgColor indexed="64"/>
      </patternFill>
    </fill>
    <fill>
      <patternFill patternType="solid">
        <fgColor rgb="FFE35C44"/>
        <bgColor indexed="64"/>
      </patternFill>
    </fill>
    <fill>
      <patternFill patternType="solid">
        <fgColor rgb="FFEA4241"/>
        <bgColor indexed="64"/>
      </patternFill>
    </fill>
    <fill>
      <patternFill patternType="solid">
        <fgColor rgb="FF368D97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75">
    <xf numFmtId="0" fontId="0" fillId="0" borderId="0" xfId="0"/>
    <xf numFmtId="2" fontId="0" fillId="0" borderId="0" xfId="0" applyNumberFormat="1"/>
    <xf numFmtId="0" fontId="1" fillId="3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wrapText="1"/>
    </xf>
    <xf numFmtId="0" fontId="1" fillId="4" borderId="1" xfId="0" applyFont="1" applyFill="1" applyBorder="1" applyAlignment="1">
      <alignment horizontal="right" wrapText="1"/>
    </xf>
    <xf numFmtId="0" fontId="1" fillId="5" borderId="1" xfId="0" applyFont="1" applyFill="1" applyBorder="1" applyAlignment="1">
      <alignment horizontal="right" wrapText="1"/>
    </xf>
    <xf numFmtId="0" fontId="1" fillId="6" borderId="1" xfId="0" applyFont="1" applyFill="1" applyBorder="1" applyAlignment="1">
      <alignment horizontal="right" wrapText="1"/>
    </xf>
    <xf numFmtId="0" fontId="3" fillId="7" borderId="1" xfId="0" applyFont="1" applyFill="1" applyBorder="1" applyAlignment="1">
      <alignment horizontal="right" wrapText="1"/>
    </xf>
    <xf numFmtId="0" fontId="4" fillId="7" borderId="1" xfId="0" applyFont="1" applyFill="1" applyBorder="1" applyAlignment="1">
      <alignment horizontal="right" wrapText="1"/>
    </xf>
    <xf numFmtId="0" fontId="3" fillId="8" borderId="1" xfId="0" applyFont="1" applyFill="1" applyBorder="1" applyAlignment="1">
      <alignment horizontal="right" wrapText="1"/>
    </xf>
    <xf numFmtId="0" fontId="4" fillId="8" borderId="1" xfId="0" applyFont="1" applyFill="1" applyBorder="1" applyAlignment="1">
      <alignment horizontal="right" wrapText="1"/>
    </xf>
    <xf numFmtId="0" fontId="3" fillId="9" borderId="1" xfId="0" applyFont="1" applyFill="1" applyBorder="1" applyAlignment="1">
      <alignment horizontal="right" wrapText="1"/>
    </xf>
    <xf numFmtId="0" fontId="4" fillId="9" borderId="1" xfId="0" applyFont="1" applyFill="1" applyBorder="1" applyAlignment="1">
      <alignment horizontal="right" wrapText="1"/>
    </xf>
    <xf numFmtId="0" fontId="1" fillId="10" borderId="1" xfId="0" applyFont="1" applyFill="1" applyBorder="1" applyAlignment="1">
      <alignment horizontal="right" wrapText="1"/>
    </xf>
    <xf numFmtId="0" fontId="1" fillId="11" borderId="1" xfId="0" applyFont="1" applyFill="1" applyBorder="1" applyAlignment="1">
      <alignment horizontal="right" wrapText="1"/>
    </xf>
    <xf numFmtId="0" fontId="1" fillId="12" borderId="1" xfId="0" applyFont="1" applyFill="1" applyBorder="1" applyAlignment="1">
      <alignment horizontal="right" wrapText="1"/>
    </xf>
    <xf numFmtId="0" fontId="1" fillId="13" borderId="1" xfId="0" applyFont="1" applyFill="1" applyBorder="1" applyAlignment="1">
      <alignment horizontal="right" wrapText="1"/>
    </xf>
    <xf numFmtId="0" fontId="3" fillId="14" borderId="1" xfId="0" applyFont="1" applyFill="1" applyBorder="1" applyAlignment="1">
      <alignment horizontal="right" wrapText="1"/>
    </xf>
    <xf numFmtId="0" fontId="4" fillId="14" borderId="1" xfId="0" applyFont="1" applyFill="1" applyBorder="1" applyAlignment="1">
      <alignment horizontal="right" wrapText="1"/>
    </xf>
    <xf numFmtId="0" fontId="3" fillId="15" borderId="1" xfId="0" applyFont="1" applyFill="1" applyBorder="1" applyAlignment="1">
      <alignment horizontal="right" wrapText="1"/>
    </xf>
    <xf numFmtId="0" fontId="4" fillId="15" borderId="1" xfId="0" applyFont="1" applyFill="1" applyBorder="1" applyAlignment="1">
      <alignment horizontal="right" wrapText="1"/>
    </xf>
    <xf numFmtId="0" fontId="1" fillId="16" borderId="1" xfId="0" applyFont="1" applyFill="1" applyBorder="1" applyAlignment="1">
      <alignment horizontal="right" wrapText="1"/>
    </xf>
    <xf numFmtId="0" fontId="3" fillId="17" borderId="1" xfId="0" applyFont="1" applyFill="1" applyBorder="1" applyAlignment="1">
      <alignment horizontal="right" wrapText="1"/>
    </xf>
    <xf numFmtId="0" fontId="1" fillId="18" borderId="1" xfId="0" applyFont="1" applyFill="1" applyBorder="1" applyAlignment="1">
      <alignment horizontal="right" wrapText="1"/>
    </xf>
    <xf numFmtId="0" fontId="1" fillId="19" borderId="1" xfId="0" applyFont="1" applyFill="1" applyBorder="1" applyAlignment="1">
      <alignment horizontal="right" wrapText="1"/>
    </xf>
    <xf numFmtId="0" fontId="1" fillId="20" borderId="1" xfId="0" applyFont="1" applyFill="1" applyBorder="1" applyAlignment="1">
      <alignment horizontal="right" wrapText="1"/>
    </xf>
    <xf numFmtId="0" fontId="1" fillId="21" borderId="1" xfId="0" applyFont="1" applyFill="1" applyBorder="1" applyAlignment="1">
      <alignment horizontal="right" wrapText="1"/>
    </xf>
    <xf numFmtId="0" fontId="1" fillId="22" borderId="1" xfId="0" applyFont="1" applyFill="1" applyBorder="1" applyAlignment="1">
      <alignment horizontal="right" wrapText="1"/>
    </xf>
    <xf numFmtId="0" fontId="1" fillId="23" borderId="1" xfId="0" applyFont="1" applyFill="1" applyBorder="1" applyAlignment="1">
      <alignment horizontal="right" wrapText="1"/>
    </xf>
    <xf numFmtId="0" fontId="1" fillId="24" borderId="1" xfId="0" applyFont="1" applyFill="1" applyBorder="1" applyAlignment="1">
      <alignment horizontal="right" wrapText="1"/>
    </xf>
    <xf numFmtId="0" fontId="1" fillId="25" borderId="1" xfId="0" applyFont="1" applyFill="1" applyBorder="1" applyAlignment="1">
      <alignment horizontal="right" wrapText="1"/>
    </xf>
    <xf numFmtId="0" fontId="1" fillId="26" borderId="1" xfId="0" applyFont="1" applyFill="1" applyBorder="1" applyAlignment="1">
      <alignment horizontal="right" wrapText="1"/>
    </xf>
    <xf numFmtId="0" fontId="1" fillId="27" borderId="1" xfId="0" applyFont="1" applyFill="1" applyBorder="1" applyAlignment="1">
      <alignment horizontal="right" wrapText="1"/>
    </xf>
    <xf numFmtId="0" fontId="1" fillId="28" borderId="1" xfId="0" applyFont="1" applyFill="1" applyBorder="1" applyAlignment="1">
      <alignment horizontal="right" wrapText="1"/>
    </xf>
    <xf numFmtId="0" fontId="1" fillId="29" borderId="1" xfId="0" applyFont="1" applyFill="1" applyBorder="1" applyAlignment="1">
      <alignment horizontal="right" wrapText="1"/>
    </xf>
    <xf numFmtId="0" fontId="1" fillId="30" borderId="1" xfId="0" applyFont="1" applyFill="1" applyBorder="1" applyAlignment="1">
      <alignment horizontal="right" wrapText="1"/>
    </xf>
    <xf numFmtId="0" fontId="1" fillId="31" borderId="1" xfId="0" applyFont="1" applyFill="1" applyBorder="1" applyAlignment="1">
      <alignment horizontal="right" wrapText="1"/>
    </xf>
    <xf numFmtId="0" fontId="1" fillId="32" borderId="1" xfId="0" applyFont="1" applyFill="1" applyBorder="1" applyAlignment="1">
      <alignment horizontal="right" wrapText="1"/>
    </xf>
    <xf numFmtId="0" fontId="1" fillId="33" borderId="1" xfId="0" applyFont="1" applyFill="1" applyBorder="1" applyAlignment="1">
      <alignment horizontal="right" wrapText="1"/>
    </xf>
    <xf numFmtId="0" fontId="4" fillId="34" borderId="1" xfId="0" applyFont="1" applyFill="1" applyBorder="1" applyAlignment="1">
      <alignment horizontal="right" wrapText="1"/>
    </xf>
    <xf numFmtId="0" fontId="3" fillId="34" borderId="1" xfId="0" applyFont="1" applyFill="1" applyBorder="1" applyAlignment="1">
      <alignment horizontal="right" wrapText="1"/>
    </xf>
    <xf numFmtId="0" fontId="4" fillId="35" borderId="1" xfId="0" applyFont="1" applyFill="1" applyBorder="1" applyAlignment="1">
      <alignment horizontal="right" wrapText="1"/>
    </xf>
    <xf numFmtId="0" fontId="1" fillId="36" borderId="1" xfId="0" applyFont="1" applyFill="1" applyBorder="1" applyAlignment="1">
      <alignment horizontal="right" wrapText="1"/>
    </xf>
    <xf numFmtId="0" fontId="1" fillId="37" borderId="1" xfId="0" applyFont="1" applyFill="1" applyBorder="1" applyAlignment="1">
      <alignment horizontal="right" wrapText="1"/>
    </xf>
    <xf numFmtId="0" fontId="1" fillId="38" borderId="1" xfId="0" applyFont="1" applyFill="1" applyBorder="1" applyAlignment="1">
      <alignment horizontal="right" wrapText="1"/>
    </xf>
    <xf numFmtId="0" fontId="3" fillId="39" borderId="1" xfId="0" applyFont="1" applyFill="1" applyBorder="1" applyAlignment="1">
      <alignment horizontal="right" wrapText="1"/>
    </xf>
    <xf numFmtId="0" fontId="1" fillId="40" borderId="1" xfId="0" applyFont="1" applyFill="1" applyBorder="1" applyAlignment="1">
      <alignment horizontal="right" wrapText="1"/>
    </xf>
    <xf numFmtId="0" fontId="1" fillId="41" borderId="1" xfId="0" applyFont="1" applyFill="1" applyBorder="1" applyAlignment="1">
      <alignment horizontal="right" wrapText="1"/>
    </xf>
    <xf numFmtId="0" fontId="1" fillId="42" borderId="1" xfId="0" applyFont="1" applyFill="1" applyBorder="1" applyAlignment="1">
      <alignment horizontal="right" wrapText="1"/>
    </xf>
    <xf numFmtId="0" fontId="1" fillId="43" borderId="1" xfId="0" applyFont="1" applyFill="1" applyBorder="1" applyAlignment="1">
      <alignment horizontal="right" wrapText="1"/>
    </xf>
    <xf numFmtId="0" fontId="1" fillId="44" borderId="1" xfId="0" applyFont="1" applyFill="1" applyBorder="1" applyAlignment="1">
      <alignment horizontal="right" wrapText="1"/>
    </xf>
    <xf numFmtId="0" fontId="3" fillId="45" borderId="1" xfId="0" applyFont="1" applyFill="1" applyBorder="1" applyAlignment="1">
      <alignment horizontal="right" wrapText="1"/>
    </xf>
    <xf numFmtId="0" fontId="4" fillId="46" borderId="1" xfId="0" applyFont="1" applyFill="1" applyBorder="1" applyAlignment="1">
      <alignment horizontal="right" wrapText="1"/>
    </xf>
    <xf numFmtId="0" fontId="4" fillId="47" borderId="1" xfId="0" applyFont="1" applyFill="1" applyBorder="1" applyAlignment="1">
      <alignment horizontal="right" wrapText="1"/>
    </xf>
    <xf numFmtId="0" fontId="1" fillId="48" borderId="1" xfId="0" applyFont="1" applyFill="1" applyBorder="1" applyAlignment="1">
      <alignment horizontal="right" wrapText="1"/>
    </xf>
    <xf numFmtId="0" fontId="1" fillId="49" borderId="1" xfId="0" applyFont="1" applyFill="1" applyBorder="1" applyAlignment="1">
      <alignment horizontal="right" wrapText="1"/>
    </xf>
    <xf numFmtId="0" fontId="1" fillId="50" borderId="1" xfId="0" applyFont="1" applyFill="1" applyBorder="1" applyAlignment="1">
      <alignment horizontal="right" wrapText="1"/>
    </xf>
    <xf numFmtId="0" fontId="1" fillId="51" borderId="1" xfId="0" applyFont="1" applyFill="1" applyBorder="1" applyAlignment="1">
      <alignment horizontal="right" wrapText="1"/>
    </xf>
    <xf numFmtId="0" fontId="1" fillId="52" borderId="1" xfId="0" applyFont="1" applyFill="1" applyBorder="1" applyAlignment="1">
      <alignment horizontal="right" wrapText="1"/>
    </xf>
    <xf numFmtId="0" fontId="1" fillId="53" borderId="1" xfId="0" applyFont="1" applyFill="1" applyBorder="1" applyAlignment="1">
      <alignment horizontal="right" wrapText="1"/>
    </xf>
    <xf numFmtId="0" fontId="1" fillId="54" borderId="1" xfId="0" applyFont="1" applyFill="1" applyBorder="1" applyAlignment="1">
      <alignment horizontal="right" wrapText="1"/>
    </xf>
    <xf numFmtId="0" fontId="1" fillId="55" borderId="1" xfId="0" applyFont="1" applyFill="1" applyBorder="1" applyAlignment="1">
      <alignment horizontal="right" wrapText="1"/>
    </xf>
    <xf numFmtId="0" fontId="3" fillId="56" borderId="1" xfId="0" applyFont="1" applyFill="1" applyBorder="1" applyAlignment="1">
      <alignment horizontal="right" wrapText="1"/>
    </xf>
    <xf numFmtId="0" fontId="1" fillId="57" borderId="1" xfId="0" applyFont="1" applyFill="1" applyBorder="1" applyAlignment="1">
      <alignment horizontal="right" wrapText="1"/>
    </xf>
    <xf numFmtId="0" fontId="3" fillId="58" borderId="1" xfId="0" applyFont="1" applyFill="1" applyBorder="1" applyAlignment="1">
      <alignment horizontal="right" wrapText="1"/>
    </xf>
    <xf numFmtId="0" fontId="4" fillId="59" borderId="1" xfId="0" applyFont="1" applyFill="1" applyBorder="1" applyAlignment="1">
      <alignment horizontal="right" wrapText="1"/>
    </xf>
    <xf numFmtId="0" fontId="3" fillId="59" borderId="1" xfId="0" applyFont="1" applyFill="1" applyBorder="1" applyAlignment="1">
      <alignment horizontal="right" wrapText="1"/>
    </xf>
    <xf numFmtId="0" fontId="1" fillId="60" borderId="1" xfId="0" applyFont="1" applyFill="1" applyBorder="1" applyAlignment="1">
      <alignment horizontal="right" wrapText="1"/>
    </xf>
    <xf numFmtId="0" fontId="1" fillId="61" borderId="1" xfId="0" applyFont="1" applyFill="1" applyBorder="1" applyAlignment="1">
      <alignment horizontal="right" wrapText="1"/>
    </xf>
    <xf numFmtId="0" fontId="1" fillId="62" borderId="1" xfId="0" applyFont="1" applyFill="1" applyBorder="1" applyAlignment="1">
      <alignment horizontal="right" wrapText="1"/>
    </xf>
    <xf numFmtId="0" fontId="3" fillId="63" borderId="1" xfId="0" applyFont="1" applyFill="1" applyBorder="1" applyAlignment="1">
      <alignment horizontal="right" wrapText="1"/>
    </xf>
    <xf numFmtId="0" fontId="1" fillId="64" borderId="1" xfId="0" applyFont="1" applyFill="1" applyBorder="1" applyAlignment="1">
      <alignment horizontal="right" wrapText="1"/>
    </xf>
    <xf numFmtId="0" fontId="1" fillId="65" borderId="1" xfId="0" applyFont="1" applyFill="1" applyBorder="1" applyAlignment="1">
      <alignment horizontal="right" wrapText="1"/>
    </xf>
    <xf numFmtId="0" fontId="4" fillId="66" borderId="1" xfId="0" applyFont="1" applyFill="1" applyBorder="1" applyAlignment="1">
      <alignment horizontal="right" wrapText="1"/>
    </xf>
    <xf numFmtId="0" fontId="1" fillId="67" borderId="1" xfId="0" applyFont="1" applyFill="1" applyBorder="1" applyAlignment="1">
      <alignment horizontal="right" wrapText="1"/>
    </xf>
    <xf numFmtId="0" fontId="1" fillId="68" borderId="1" xfId="0" applyFont="1" applyFill="1" applyBorder="1" applyAlignment="1">
      <alignment horizontal="right" wrapText="1"/>
    </xf>
    <xf numFmtId="0" fontId="1" fillId="69" borderId="1" xfId="0" applyFont="1" applyFill="1" applyBorder="1" applyAlignment="1">
      <alignment horizontal="right" wrapText="1"/>
    </xf>
    <xf numFmtId="0" fontId="1" fillId="70" borderId="1" xfId="0" applyFont="1" applyFill="1" applyBorder="1" applyAlignment="1">
      <alignment horizontal="right" wrapText="1"/>
    </xf>
    <xf numFmtId="0" fontId="1" fillId="71" borderId="1" xfId="0" applyFont="1" applyFill="1" applyBorder="1" applyAlignment="1">
      <alignment horizontal="right" wrapText="1"/>
    </xf>
    <xf numFmtId="0" fontId="1" fillId="72" borderId="1" xfId="0" applyFont="1" applyFill="1" applyBorder="1" applyAlignment="1">
      <alignment horizontal="right" wrapText="1"/>
    </xf>
    <xf numFmtId="0" fontId="1" fillId="73" borderId="1" xfId="0" applyFont="1" applyFill="1" applyBorder="1" applyAlignment="1">
      <alignment horizontal="right" wrapText="1"/>
    </xf>
    <xf numFmtId="0" fontId="1" fillId="74" borderId="1" xfId="0" applyFont="1" applyFill="1" applyBorder="1" applyAlignment="1">
      <alignment horizontal="right" wrapText="1"/>
    </xf>
    <xf numFmtId="0" fontId="4" fillId="75" borderId="1" xfId="0" applyFont="1" applyFill="1" applyBorder="1" applyAlignment="1">
      <alignment horizontal="right" wrapText="1"/>
    </xf>
    <xf numFmtId="0" fontId="1" fillId="76" borderId="1" xfId="0" applyFont="1" applyFill="1" applyBorder="1" applyAlignment="1">
      <alignment horizontal="right" wrapText="1"/>
    </xf>
    <xf numFmtId="0" fontId="1" fillId="77" borderId="1" xfId="0" applyFont="1" applyFill="1" applyBorder="1" applyAlignment="1">
      <alignment horizontal="right" wrapText="1"/>
    </xf>
    <xf numFmtId="0" fontId="1" fillId="78" borderId="1" xfId="0" applyFont="1" applyFill="1" applyBorder="1" applyAlignment="1">
      <alignment horizontal="right" wrapText="1"/>
    </xf>
    <xf numFmtId="0" fontId="1" fillId="79" borderId="1" xfId="0" applyFont="1" applyFill="1" applyBorder="1" applyAlignment="1">
      <alignment horizontal="right" wrapText="1"/>
    </xf>
    <xf numFmtId="0" fontId="1" fillId="80" borderId="1" xfId="0" applyFont="1" applyFill="1" applyBorder="1" applyAlignment="1">
      <alignment horizontal="right" wrapText="1"/>
    </xf>
    <xf numFmtId="0" fontId="4" fillId="81" borderId="1" xfId="0" applyFont="1" applyFill="1" applyBorder="1" applyAlignment="1">
      <alignment horizontal="right" wrapText="1"/>
    </xf>
    <xf numFmtId="0" fontId="1" fillId="82" borderId="1" xfId="0" applyFont="1" applyFill="1" applyBorder="1" applyAlignment="1">
      <alignment horizontal="right" wrapText="1"/>
    </xf>
    <xf numFmtId="0" fontId="1" fillId="84" borderId="1" xfId="0" applyFont="1" applyFill="1" applyBorder="1" applyAlignment="1">
      <alignment horizontal="right" wrapText="1"/>
    </xf>
    <xf numFmtId="0" fontId="1" fillId="85" borderId="1" xfId="0" applyFont="1" applyFill="1" applyBorder="1" applyAlignment="1">
      <alignment horizontal="right" wrapText="1"/>
    </xf>
    <xf numFmtId="0" fontId="1" fillId="86" borderId="1" xfId="0" applyFont="1" applyFill="1" applyBorder="1" applyAlignment="1">
      <alignment horizontal="right" wrapText="1"/>
    </xf>
    <xf numFmtId="0" fontId="1" fillId="87" borderId="1" xfId="0" applyFont="1" applyFill="1" applyBorder="1" applyAlignment="1">
      <alignment horizontal="right" wrapText="1"/>
    </xf>
    <xf numFmtId="0" fontId="5" fillId="88" borderId="1" xfId="0" applyFont="1" applyFill="1" applyBorder="1" applyAlignment="1">
      <alignment horizontal="right" wrapText="1"/>
    </xf>
    <xf numFmtId="0" fontId="1" fillId="89" borderId="1" xfId="0" applyFont="1" applyFill="1" applyBorder="1" applyAlignment="1">
      <alignment horizontal="right" wrapText="1"/>
    </xf>
    <xf numFmtId="0" fontId="1" fillId="90" borderId="1" xfId="0" applyFont="1" applyFill="1" applyBorder="1" applyAlignment="1">
      <alignment horizontal="right" wrapText="1"/>
    </xf>
    <xf numFmtId="0" fontId="1" fillId="91" borderId="1" xfId="0" applyFont="1" applyFill="1" applyBorder="1" applyAlignment="1">
      <alignment horizontal="right" wrapText="1"/>
    </xf>
    <xf numFmtId="0" fontId="1" fillId="92" borderId="1" xfId="0" applyFont="1" applyFill="1" applyBorder="1" applyAlignment="1">
      <alignment horizontal="right" wrapText="1"/>
    </xf>
    <xf numFmtId="0" fontId="1" fillId="93" borderId="1" xfId="0" applyFont="1" applyFill="1" applyBorder="1" applyAlignment="1">
      <alignment horizontal="right" wrapText="1"/>
    </xf>
    <xf numFmtId="0" fontId="0" fillId="0" borderId="0" xfId="0" applyAlignment="1"/>
    <xf numFmtId="0" fontId="1" fillId="3" borderId="1" xfId="0" applyFont="1" applyFill="1" applyBorder="1" applyAlignment="1">
      <alignment horizontal="right"/>
    </xf>
    <xf numFmtId="0" fontId="1" fillId="4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3" fillId="7" borderId="1" xfId="0" applyFont="1" applyFill="1" applyBorder="1" applyAlignment="1">
      <alignment horizontal="right"/>
    </xf>
    <xf numFmtId="0" fontId="3" fillId="8" borderId="1" xfId="0" applyFont="1" applyFill="1" applyBorder="1" applyAlignment="1">
      <alignment horizontal="right"/>
    </xf>
    <xf numFmtId="0" fontId="3" fillId="9" borderId="1" xfId="0" applyFont="1" applyFill="1" applyBorder="1" applyAlignment="1">
      <alignment horizontal="right"/>
    </xf>
    <xf numFmtId="0" fontId="2" fillId="0" borderId="1" xfId="0" applyFont="1" applyBorder="1" applyAlignment="1"/>
    <xf numFmtId="0" fontId="1" fillId="10" borderId="1" xfId="0" applyFont="1" applyFill="1" applyBorder="1" applyAlignment="1">
      <alignment horizontal="right"/>
    </xf>
    <xf numFmtId="0" fontId="1" fillId="11" borderId="1" xfId="0" applyFont="1" applyFill="1" applyBorder="1" applyAlignment="1">
      <alignment horizontal="right"/>
    </xf>
    <xf numFmtId="0" fontId="1" fillId="12" borderId="1" xfId="0" applyFont="1" applyFill="1" applyBorder="1" applyAlignment="1">
      <alignment horizontal="right"/>
    </xf>
    <xf numFmtId="0" fontId="1" fillId="13" borderId="1" xfId="0" applyFont="1" applyFill="1" applyBorder="1" applyAlignment="1">
      <alignment horizontal="right"/>
    </xf>
    <xf numFmtId="0" fontId="3" fillId="14" borderId="1" xfId="0" applyFont="1" applyFill="1" applyBorder="1" applyAlignment="1">
      <alignment horizontal="right"/>
    </xf>
    <xf numFmtId="0" fontId="3" fillId="15" borderId="1" xfId="0" applyFont="1" applyFill="1" applyBorder="1" applyAlignment="1">
      <alignment horizontal="right"/>
    </xf>
    <xf numFmtId="0" fontId="1" fillId="16" borderId="1" xfId="0" applyFont="1" applyFill="1" applyBorder="1" applyAlignment="1">
      <alignment horizontal="right"/>
    </xf>
    <xf numFmtId="0" fontId="3" fillId="17" borderId="1" xfId="0" applyFont="1" applyFill="1" applyBorder="1" applyAlignment="1">
      <alignment horizontal="right"/>
    </xf>
    <xf numFmtId="0" fontId="1" fillId="18" borderId="1" xfId="0" applyFont="1" applyFill="1" applyBorder="1" applyAlignment="1">
      <alignment horizontal="right"/>
    </xf>
    <xf numFmtId="0" fontId="1" fillId="19" borderId="1" xfId="0" applyFont="1" applyFill="1" applyBorder="1" applyAlignment="1">
      <alignment horizontal="right"/>
    </xf>
    <xf numFmtId="0" fontId="1" fillId="20" borderId="1" xfId="0" applyFont="1" applyFill="1" applyBorder="1" applyAlignment="1">
      <alignment horizontal="right"/>
    </xf>
    <xf numFmtId="0" fontId="1" fillId="21" borderId="1" xfId="0" applyFont="1" applyFill="1" applyBorder="1" applyAlignment="1">
      <alignment horizontal="right"/>
    </xf>
    <xf numFmtId="0" fontId="1" fillId="22" borderId="1" xfId="0" applyFont="1" applyFill="1" applyBorder="1" applyAlignment="1">
      <alignment horizontal="right"/>
    </xf>
    <xf numFmtId="0" fontId="1" fillId="23" borderId="1" xfId="0" applyFont="1" applyFill="1" applyBorder="1" applyAlignment="1">
      <alignment horizontal="right"/>
    </xf>
    <xf numFmtId="0" fontId="1" fillId="24" borderId="1" xfId="0" applyFont="1" applyFill="1" applyBorder="1" applyAlignment="1">
      <alignment horizontal="right"/>
    </xf>
    <xf numFmtId="0" fontId="1" fillId="25" borderId="1" xfId="0" applyFont="1" applyFill="1" applyBorder="1" applyAlignment="1">
      <alignment horizontal="right"/>
    </xf>
    <xf numFmtId="0" fontId="1" fillId="26" borderId="1" xfId="0" applyFont="1" applyFill="1" applyBorder="1" applyAlignment="1">
      <alignment horizontal="right"/>
    </xf>
    <xf numFmtId="0" fontId="1" fillId="27" borderId="1" xfId="0" applyFont="1" applyFill="1" applyBorder="1" applyAlignment="1">
      <alignment horizontal="right"/>
    </xf>
    <xf numFmtId="0" fontId="1" fillId="28" borderId="1" xfId="0" applyFont="1" applyFill="1" applyBorder="1" applyAlignment="1">
      <alignment horizontal="right"/>
    </xf>
    <xf numFmtId="0" fontId="1" fillId="29" borderId="1" xfId="0" applyFont="1" applyFill="1" applyBorder="1" applyAlignment="1">
      <alignment horizontal="right"/>
    </xf>
    <xf numFmtId="0" fontId="1" fillId="30" borderId="1" xfId="0" applyFont="1" applyFill="1" applyBorder="1" applyAlignment="1">
      <alignment horizontal="right"/>
    </xf>
    <xf numFmtId="0" fontId="1" fillId="31" borderId="1" xfId="0" applyFont="1" applyFill="1" applyBorder="1" applyAlignment="1">
      <alignment horizontal="right"/>
    </xf>
    <xf numFmtId="0" fontId="1" fillId="32" borderId="1" xfId="0" applyFont="1" applyFill="1" applyBorder="1" applyAlignment="1">
      <alignment horizontal="right"/>
    </xf>
    <xf numFmtId="0" fontId="1" fillId="33" borderId="1" xfId="0" applyFont="1" applyFill="1" applyBorder="1" applyAlignment="1">
      <alignment horizontal="right"/>
    </xf>
    <xf numFmtId="0" fontId="4" fillId="34" borderId="1" xfId="0" applyFont="1" applyFill="1" applyBorder="1" applyAlignment="1">
      <alignment horizontal="right"/>
    </xf>
    <xf numFmtId="0" fontId="4" fillId="35" borderId="1" xfId="0" applyFont="1" applyFill="1" applyBorder="1" applyAlignment="1">
      <alignment horizontal="right"/>
    </xf>
    <xf numFmtId="0" fontId="1" fillId="36" borderId="1" xfId="0" applyFont="1" applyFill="1" applyBorder="1" applyAlignment="1">
      <alignment horizontal="right"/>
    </xf>
    <xf numFmtId="0" fontId="1" fillId="37" borderId="1" xfId="0" applyFont="1" applyFill="1" applyBorder="1" applyAlignment="1">
      <alignment horizontal="right"/>
    </xf>
    <xf numFmtId="0" fontId="1" fillId="38" borderId="1" xfId="0" applyFont="1" applyFill="1" applyBorder="1" applyAlignment="1">
      <alignment horizontal="right"/>
    </xf>
    <xf numFmtId="0" fontId="3" fillId="39" borderId="1" xfId="0" applyFont="1" applyFill="1" applyBorder="1" applyAlignment="1">
      <alignment horizontal="right"/>
    </xf>
    <xf numFmtId="0" fontId="1" fillId="40" borderId="1" xfId="0" applyFont="1" applyFill="1" applyBorder="1" applyAlignment="1">
      <alignment horizontal="right"/>
    </xf>
    <xf numFmtId="0" fontId="1" fillId="41" borderId="1" xfId="0" applyFont="1" applyFill="1" applyBorder="1" applyAlignment="1">
      <alignment horizontal="right"/>
    </xf>
    <xf numFmtId="0" fontId="1" fillId="42" borderId="1" xfId="0" applyFont="1" applyFill="1" applyBorder="1" applyAlignment="1">
      <alignment horizontal="right"/>
    </xf>
    <xf numFmtId="0" fontId="1" fillId="43" borderId="1" xfId="0" applyFont="1" applyFill="1" applyBorder="1" applyAlignment="1">
      <alignment horizontal="right"/>
    </xf>
    <xf numFmtId="0" fontId="1" fillId="44" borderId="1" xfId="0" applyFont="1" applyFill="1" applyBorder="1" applyAlignment="1">
      <alignment horizontal="right"/>
    </xf>
    <xf numFmtId="0" fontId="3" fillId="45" borderId="1" xfId="0" applyFont="1" applyFill="1" applyBorder="1" applyAlignment="1">
      <alignment horizontal="right"/>
    </xf>
    <xf numFmtId="0" fontId="4" fillId="46" borderId="1" xfId="0" applyFont="1" applyFill="1" applyBorder="1" applyAlignment="1">
      <alignment horizontal="right"/>
    </xf>
    <xf numFmtId="0" fontId="4" fillId="47" borderId="1" xfId="0" applyFont="1" applyFill="1" applyBorder="1" applyAlignment="1">
      <alignment horizontal="right"/>
    </xf>
    <xf numFmtId="0" fontId="1" fillId="48" borderId="1" xfId="0" applyFont="1" applyFill="1" applyBorder="1" applyAlignment="1">
      <alignment horizontal="right"/>
    </xf>
    <xf numFmtId="0" fontId="1" fillId="49" borderId="1" xfId="0" applyFont="1" applyFill="1" applyBorder="1" applyAlignment="1">
      <alignment horizontal="right"/>
    </xf>
    <xf numFmtId="0" fontId="1" fillId="50" borderId="1" xfId="0" applyFont="1" applyFill="1" applyBorder="1" applyAlignment="1">
      <alignment horizontal="right"/>
    </xf>
    <xf numFmtId="0" fontId="1" fillId="51" borderId="1" xfId="0" applyFont="1" applyFill="1" applyBorder="1" applyAlignment="1">
      <alignment horizontal="right"/>
    </xf>
    <xf numFmtId="0" fontId="1" fillId="52" borderId="1" xfId="0" applyFont="1" applyFill="1" applyBorder="1" applyAlignment="1">
      <alignment horizontal="right"/>
    </xf>
    <xf numFmtId="0" fontId="1" fillId="53" borderId="1" xfId="0" applyFont="1" applyFill="1" applyBorder="1" applyAlignment="1">
      <alignment horizontal="right"/>
    </xf>
    <xf numFmtId="0" fontId="1" fillId="54" borderId="1" xfId="0" applyFont="1" applyFill="1" applyBorder="1" applyAlignment="1">
      <alignment horizontal="right"/>
    </xf>
    <xf numFmtId="0" fontId="1" fillId="55" borderId="1" xfId="0" applyFont="1" applyFill="1" applyBorder="1" applyAlignment="1">
      <alignment horizontal="right"/>
    </xf>
    <xf numFmtId="0" fontId="3" fillId="56" borderId="1" xfId="0" applyFont="1" applyFill="1" applyBorder="1" applyAlignment="1">
      <alignment horizontal="right"/>
    </xf>
    <xf numFmtId="0" fontId="1" fillId="57" borderId="1" xfId="0" applyFont="1" applyFill="1" applyBorder="1" applyAlignment="1">
      <alignment horizontal="right"/>
    </xf>
    <xf numFmtId="0" fontId="3" fillId="58" borderId="1" xfId="0" applyFont="1" applyFill="1" applyBorder="1" applyAlignment="1">
      <alignment horizontal="right"/>
    </xf>
    <xf numFmtId="0" fontId="4" fillId="59" borderId="1" xfId="0" applyFont="1" applyFill="1" applyBorder="1" applyAlignment="1">
      <alignment horizontal="right"/>
    </xf>
    <xf numFmtId="0" fontId="1" fillId="60" borderId="1" xfId="0" applyFont="1" applyFill="1" applyBorder="1" applyAlignment="1">
      <alignment horizontal="right"/>
    </xf>
    <xf numFmtId="0" fontId="1" fillId="61" borderId="1" xfId="0" applyFont="1" applyFill="1" applyBorder="1" applyAlignment="1">
      <alignment horizontal="right"/>
    </xf>
    <xf numFmtId="0" fontId="1" fillId="62" borderId="1" xfId="0" applyFont="1" applyFill="1" applyBorder="1" applyAlignment="1">
      <alignment horizontal="right"/>
    </xf>
    <xf numFmtId="0" fontId="3" fillId="63" borderId="1" xfId="0" applyFont="1" applyFill="1" applyBorder="1" applyAlignment="1">
      <alignment horizontal="right"/>
    </xf>
    <xf numFmtId="0" fontId="1" fillId="64" borderId="1" xfId="0" applyFont="1" applyFill="1" applyBorder="1" applyAlignment="1">
      <alignment horizontal="right"/>
    </xf>
    <xf numFmtId="0" fontId="1" fillId="65" borderId="1" xfId="0" applyFont="1" applyFill="1" applyBorder="1" applyAlignment="1">
      <alignment horizontal="right"/>
    </xf>
    <xf numFmtId="0" fontId="4" fillId="66" borderId="1" xfId="0" applyFont="1" applyFill="1" applyBorder="1" applyAlignment="1">
      <alignment horizontal="right"/>
    </xf>
    <xf numFmtId="0" fontId="1" fillId="67" borderId="1" xfId="0" applyFont="1" applyFill="1" applyBorder="1" applyAlignment="1">
      <alignment horizontal="right"/>
    </xf>
    <xf numFmtId="0" fontId="1" fillId="68" borderId="1" xfId="0" applyFont="1" applyFill="1" applyBorder="1" applyAlignment="1">
      <alignment horizontal="right"/>
    </xf>
    <xf numFmtId="0" fontId="1" fillId="69" borderId="1" xfId="0" applyFont="1" applyFill="1" applyBorder="1" applyAlignment="1">
      <alignment horizontal="right"/>
    </xf>
    <xf numFmtId="0" fontId="1" fillId="70" borderId="1" xfId="0" applyFont="1" applyFill="1" applyBorder="1" applyAlignment="1">
      <alignment horizontal="right"/>
    </xf>
    <xf numFmtId="0" fontId="1" fillId="71" borderId="1" xfId="0" applyFont="1" applyFill="1" applyBorder="1" applyAlignment="1">
      <alignment horizontal="right"/>
    </xf>
    <xf numFmtId="0" fontId="1" fillId="73" borderId="1" xfId="0" applyFont="1" applyFill="1" applyBorder="1" applyAlignment="1">
      <alignment horizontal="right"/>
    </xf>
    <xf numFmtId="0" fontId="1" fillId="74" borderId="1" xfId="0" applyFont="1" applyFill="1" applyBorder="1" applyAlignment="1">
      <alignment horizontal="right"/>
    </xf>
    <xf numFmtId="0" fontId="4" fillId="75" borderId="1" xfId="0" applyFont="1" applyFill="1" applyBorder="1" applyAlignment="1">
      <alignment horizontal="right"/>
    </xf>
    <xf numFmtId="0" fontId="1" fillId="76" borderId="1" xfId="0" applyFont="1" applyFill="1" applyBorder="1" applyAlignment="1">
      <alignment horizontal="right"/>
    </xf>
    <xf numFmtId="0" fontId="1" fillId="77" borderId="1" xfId="0" applyFont="1" applyFill="1" applyBorder="1" applyAlignment="1">
      <alignment horizontal="right"/>
    </xf>
    <xf numFmtId="0" fontId="1" fillId="78" borderId="1" xfId="0" applyFont="1" applyFill="1" applyBorder="1" applyAlignment="1">
      <alignment horizontal="right"/>
    </xf>
    <xf numFmtId="0" fontId="1" fillId="79" borderId="1" xfId="0" applyFont="1" applyFill="1" applyBorder="1" applyAlignment="1">
      <alignment horizontal="right"/>
    </xf>
    <xf numFmtId="0" fontId="1" fillId="80" borderId="1" xfId="0" applyFont="1" applyFill="1" applyBorder="1" applyAlignment="1">
      <alignment horizontal="right"/>
    </xf>
    <xf numFmtId="0" fontId="4" fillId="81" borderId="1" xfId="0" applyFont="1" applyFill="1" applyBorder="1" applyAlignment="1">
      <alignment horizontal="right"/>
    </xf>
    <xf numFmtId="0" fontId="1" fillId="82" borderId="1" xfId="0" applyFont="1" applyFill="1" applyBorder="1" applyAlignment="1">
      <alignment horizontal="right"/>
    </xf>
    <xf numFmtId="0" fontId="1" fillId="84" borderId="1" xfId="0" applyFont="1" applyFill="1" applyBorder="1" applyAlignment="1">
      <alignment horizontal="right"/>
    </xf>
    <xf numFmtId="0" fontId="1" fillId="85" borderId="1" xfId="0" applyFont="1" applyFill="1" applyBorder="1" applyAlignment="1">
      <alignment horizontal="right"/>
    </xf>
    <xf numFmtId="0" fontId="1" fillId="86" borderId="1" xfId="0" applyFont="1" applyFill="1" applyBorder="1" applyAlignment="1">
      <alignment horizontal="right"/>
    </xf>
    <xf numFmtId="0" fontId="1" fillId="87" borderId="1" xfId="0" applyFont="1" applyFill="1" applyBorder="1" applyAlignment="1">
      <alignment horizontal="right"/>
    </xf>
    <xf numFmtId="0" fontId="5" fillId="88" borderId="1" xfId="0" applyFont="1" applyFill="1" applyBorder="1" applyAlignment="1">
      <alignment horizontal="right"/>
    </xf>
    <xf numFmtId="0" fontId="1" fillId="89" borderId="1" xfId="0" applyFont="1" applyFill="1" applyBorder="1" applyAlignment="1">
      <alignment horizontal="right"/>
    </xf>
    <xf numFmtId="0" fontId="1" fillId="90" borderId="1" xfId="0" applyFont="1" applyFill="1" applyBorder="1" applyAlignment="1">
      <alignment horizontal="right"/>
    </xf>
    <xf numFmtId="0" fontId="1" fillId="91" borderId="1" xfId="0" applyFont="1" applyFill="1" applyBorder="1" applyAlignment="1">
      <alignment horizontal="right"/>
    </xf>
    <xf numFmtId="0" fontId="1" fillId="92" borderId="1" xfId="0" applyFont="1" applyFill="1" applyBorder="1" applyAlignment="1">
      <alignment horizontal="right"/>
    </xf>
    <xf numFmtId="0" fontId="1" fillId="93" borderId="1" xfId="0" applyFont="1" applyFill="1" applyBorder="1" applyAlignment="1">
      <alignment horizontal="right"/>
    </xf>
    <xf numFmtId="3" fontId="1" fillId="10" borderId="1" xfId="0" applyNumberFormat="1" applyFont="1" applyFill="1" applyBorder="1" applyAlignment="1">
      <alignment horizontal="right"/>
    </xf>
    <xf numFmtId="3" fontId="1" fillId="11" borderId="1" xfId="0" applyNumberFormat="1" applyFont="1" applyFill="1" applyBorder="1" applyAlignment="1">
      <alignment horizontal="right"/>
    </xf>
    <xf numFmtId="3" fontId="1" fillId="12" borderId="1" xfId="0" applyNumberFormat="1" applyFont="1" applyFill="1" applyBorder="1" applyAlignment="1">
      <alignment horizontal="right"/>
    </xf>
    <xf numFmtId="3" fontId="1" fillId="13" borderId="1" xfId="0" applyNumberFormat="1" applyFont="1" applyFill="1" applyBorder="1" applyAlignment="1">
      <alignment horizontal="right"/>
    </xf>
    <xf numFmtId="3" fontId="1" fillId="18" borderId="1" xfId="0" applyNumberFormat="1" applyFont="1" applyFill="1" applyBorder="1" applyAlignment="1">
      <alignment horizontal="right"/>
    </xf>
    <xf numFmtId="3" fontId="1" fillId="19" borderId="1" xfId="0" applyNumberFormat="1" applyFont="1" applyFill="1" applyBorder="1" applyAlignment="1">
      <alignment horizontal="right"/>
    </xf>
    <xf numFmtId="3" fontId="1" fillId="25" borderId="1" xfId="0" applyNumberFormat="1" applyFont="1" applyFill="1" applyBorder="1" applyAlignment="1">
      <alignment horizontal="right"/>
    </xf>
    <xf numFmtId="3" fontId="1" fillId="26" borderId="1" xfId="0" applyNumberFormat="1" applyFont="1" applyFill="1" applyBorder="1" applyAlignment="1">
      <alignment horizontal="right"/>
    </xf>
    <xf numFmtId="3" fontId="1" fillId="27" borderId="1" xfId="0" applyNumberFormat="1" applyFont="1" applyFill="1" applyBorder="1" applyAlignment="1">
      <alignment horizontal="right"/>
    </xf>
    <xf numFmtId="3" fontId="1" fillId="28" borderId="1" xfId="0" applyNumberFormat="1" applyFont="1" applyFill="1" applyBorder="1" applyAlignment="1">
      <alignment horizontal="right"/>
    </xf>
    <xf numFmtId="3" fontId="1" fillId="29" borderId="1" xfId="0" applyNumberFormat="1" applyFont="1" applyFill="1" applyBorder="1" applyAlignment="1">
      <alignment horizontal="right"/>
    </xf>
    <xf numFmtId="3" fontId="1" fillId="30" borderId="1" xfId="0" applyNumberFormat="1" applyFont="1" applyFill="1" applyBorder="1" applyAlignment="1">
      <alignment horizontal="right"/>
    </xf>
    <xf numFmtId="3" fontId="1" fillId="37" borderId="1" xfId="0" applyNumberFormat="1" applyFont="1" applyFill="1" applyBorder="1" applyAlignment="1">
      <alignment horizontal="right"/>
    </xf>
    <xf numFmtId="3" fontId="1" fillId="38" borderId="1" xfId="0" applyNumberFormat="1" applyFont="1" applyFill="1" applyBorder="1" applyAlignment="1">
      <alignment horizontal="right"/>
    </xf>
    <xf numFmtId="3" fontId="1" fillId="40" borderId="1" xfId="0" applyNumberFormat="1" applyFont="1" applyFill="1" applyBorder="1" applyAlignment="1">
      <alignment horizontal="right"/>
    </xf>
    <xf numFmtId="3" fontId="1" fillId="41" borderId="1" xfId="0" applyNumberFormat="1" applyFont="1" applyFill="1" applyBorder="1" applyAlignment="1">
      <alignment horizontal="right"/>
    </xf>
    <xf numFmtId="3" fontId="1" fillId="42" borderId="1" xfId="0" applyNumberFormat="1" applyFont="1" applyFill="1" applyBorder="1" applyAlignment="1">
      <alignment horizontal="right"/>
    </xf>
    <xf numFmtId="3" fontId="1" fillId="43" borderId="1" xfId="0" applyNumberFormat="1" applyFont="1" applyFill="1" applyBorder="1" applyAlignment="1">
      <alignment horizontal="right"/>
    </xf>
    <xf numFmtId="3" fontId="1" fillId="44" borderId="1" xfId="0" applyNumberFormat="1" applyFont="1" applyFill="1" applyBorder="1" applyAlignment="1">
      <alignment horizontal="right"/>
    </xf>
    <xf numFmtId="3" fontId="1" fillId="48" borderId="1" xfId="0" applyNumberFormat="1" applyFont="1" applyFill="1" applyBorder="1" applyAlignment="1">
      <alignment horizontal="right"/>
    </xf>
    <xf numFmtId="3" fontId="1" fillId="50" borderId="1" xfId="0" applyNumberFormat="1" applyFont="1" applyFill="1" applyBorder="1" applyAlignment="1">
      <alignment horizontal="right"/>
    </xf>
    <xf numFmtId="3" fontId="1" fillId="52" borderId="1" xfId="0" applyNumberFormat="1" applyFont="1" applyFill="1" applyBorder="1" applyAlignment="1">
      <alignment horizontal="right"/>
    </xf>
    <xf numFmtId="3" fontId="1" fillId="64" borderId="1" xfId="0" applyNumberFormat="1" applyFont="1" applyFill="1" applyBorder="1" applyAlignment="1">
      <alignment horizontal="right"/>
    </xf>
    <xf numFmtId="3" fontId="1" fillId="69" borderId="1" xfId="0" applyNumberFormat="1" applyFont="1" applyFill="1" applyBorder="1" applyAlignment="1">
      <alignment horizontal="right"/>
    </xf>
    <xf numFmtId="3" fontId="1" fillId="70" borderId="1" xfId="0" applyNumberFormat="1" applyFont="1" applyFill="1" applyBorder="1" applyAlignment="1">
      <alignment horizontal="right"/>
    </xf>
    <xf numFmtId="3" fontId="1" fillId="71" borderId="1" xfId="0" applyNumberFormat="1" applyFont="1" applyFill="1" applyBorder="1" applyAlignment="1">
      <alignment horizontal="right"/>
    </xf>
    <xf numFmtId="3" fontId="1" fillId="73" borderId="1" xfId="0" applyNumberFormat="1" applyFont="1" applyFill="1" applyBorder="1" applyAlignment="1">
      <alignment horizontal="right"/>
    </xf>
    <xf numFmtId="3" fontId="1" fillId="74" borderId="1" xfId="0" applyNumberFormat="1" applyFont="1" applyFill="1" applyBorder="1" applyAlignment="1">
      <alignment horizontal="right"/>
    </xf>
    <xf numFmtId="3" fontId="1" fillId="76" borderId="1" xfId="0" applyNumberFormat="1" applyFont="1" applyFill="1" applyBorder="1" applyAlignment="1">
      <alignment horizontal="right"/>
    </xf>
    <xf numFmtId="3" fontId="1" fillId="79" borderId="1" xfId="0" applyNumberFormat="1" applyFont="1" applyFill="1" applyBorder="1" applyAlignment="1">
      <alignment horizontal="right"/>
    </xf>
    <xf numFmtId="3" fontId="1" fillId="80" borderId="1" xfId="0" applyNumberFormat="1" applyFont="1" applyFill="1" applyBorder="1" applyAlignment="1">
      <alignment horizontal="right"/>
    </xf>
    <xf numFmtId="3" fontId="1" fillId="82" borderId="1" xfId="0" applyNumberFormat="1" applyFont="1" applyFill="1" applyBorder="1" applyAlignment="1">
      <alignment horizontal="right"/>
    </xf>
    <xf numFmtId="3" fontId="1" fillId="84" borderId="1" xfId="0" applyNumberFormat="1" applyFont="1" applyFill="1" applyBorder="1" applyAlignment="1">
      <alignment horizontal="right"/>
    </xf>
    <xf numFmtId="3" fontId="1" fillId="86" borderId="1" xfId="0" applyNumberFormat="1" applyFont="1" applyFill="1" applyBorder="1" applyAlignment="1">
      <alignment horizontal="right"/>
    </xf>
    <xf numFmtId="3" fontId="1" fillId="87" borderId="1" xfId="0" applyNumberFormat="1" applyFont="1" applyFill="1" applyBorder="1" applyAlignment="1">
      <alignment horizontal="right"/>
    </xf>
    <xf numFmtId="3" fontId="1" fillId="89" borderId="1" xfId="0" applyNumberFormat="1" applyFont="1" applyFill="1" applyBorder="1" applyAlignment="1">
      <alignment horizontal="right"/>
    </xf>
    <xf numFmtId="3" fontId="1" fillId="90" borderId="1" xfId="0" applyNumberFormat="1" applyFont="1" applyFill="1" applyBorder="1" applyAlignment="1">
      <alignment horizontal="right"/>
    </xf>
    <xf numFmtId="3" fontId="1" fillId="91" borderId="1" xfId="0" applyNumberFormat="1" applyFont="1" applyFill="1" applyBorder="1" applyAlignment="1">
      <alignment horizontal="right"/>
    </xf>
    <xf numFmtId="3" fontId="1" fillId="92" borderId="1" xfId="0" applyNumberFormat="1" applyFont="1" applyFill="1" applyBorder="1" applyAlignment="1">
      <alignment horizontal="right"/>
    </xf>
    <xf numFmtId="3" fontId="1" fillId="93" borderId="1" xfId="0" applyNumberFormat="1" applyFont="1" applyFill="1" applyBorder="1" applyAlignment="1">
      <alignment horizontal="right"/>
    </xf>
    <xf numFmtId="0" fontId="2" fillId="94" borderId="1" xfId="0" applyFont="1" applyFill="1" applyBorder="1" applyAlignment="1">
      <alignment wrapText="1"/>
    </xf>
    <xf numFmtId="0" fontId="2" fillId="95" borderId="1" xfId="0" applyFont="1" applyFill="1" applyBorder="1" applyAlignment="1">
      <alignment wrapText="1"/>
    </xf>
    <xf numFmtId="0" fontId="2" fillId="96" borderId="1" xfId="0" applyFont="1" applyFill="1" applyBorder="1" applyAlignment="1">
      <alignment wrapText="1"/>
    </xf>
    <xf numFmtId="0" fontId="2" fillId="97" borderId="1" xfId="0" applyFont="1" applyFill="1" applyBorder="1" applyAlignment="1">
      <alignment wrapText="1"/>
    </xf>
    <xf numFmtId="0" fontId="2" fillId="98" borderId="1" xfId="0" applyFont="1" applyFill="1" applyBorder="1" applyAlignment="1">
      <alignment wrapText="1"/>
    </xf>
    <xf numFmtId="0" fontId="2" fillId="99" borderId="1" xfId="0" applyFont="1" applyFill="1" applyBorder="1" applyAlignment="1">
      <alignment wrapText="1"/>
    </xf>
    <xf numFmtId="0" fontId="2" fillId="100" borderId="1" xfId="0" applyFont="1" applyFill="1" applyBorder="1" applyAlignment="1">
      <alignment wrapText="1"/>
    </xf>
    <xf numFmtId="0" fontId="2" fillId="101" borderId="1" xfId="0" applyFont="1" applyFill="1" applyBorder="1" applyAlignment="1">
      <alignment wrapText="1"/>
    </xf>
    <xf numFmtId="0" fontId="2" fillId="102" borderId="1" xfId="0" applyFont="1" applyFill="1" applyBorder="1" applyAlignment="1">
      <alignment wrapText="1"/>
    </xf>
    <xf numFmtId="0" fontId="2" fillId="103" borderId="1" xfId="0" applyFont="1" applyFill="1" applyBorder="1" applyAlignment="1">
      <alignment wrapText="1"/>
    </xf>
    <xf numFmtId="0" fontId="2" fillId="104" borderId="1" xfId="0" applyFont="1" applyFill="1" applyBorder="1" applyAlignment="1">
      <alignment wrapText="1"/>
    </xf>
    <xf numFmtId="0" fontId="6" fillId="105" borderId="1" xfId="0" applyFont="1" applyFill="1" applyBorder="1" applyAlignment="1">
      <alignment wrapText="1"/>
    </xf>
    <xf numFmtId="0" fontId="0" fillId="2" borderId="0" xfId="0" applyFill="1" applyAlignment="1"/>
    <xf numFmtId="0" fontId="1" fillId="2" borderId="1" xfId="0" applyFont="1" applyFill="1" applyBorder="1" applyAlignment="1">
      <alignment horizontal="right"/>
    </xf>
    <xf numFmtId="49" fontId="1" fillId="85" borderId="1" xfId="0" applyNumberFormat="1" applyFont="1" applyFill="1" applyBorder="1" applyAlignment="1">
      <alignment horizontal="right" wrapText="1"/>
    </xf>
    <xf numFmtId="2" fontId="1" fillId="3" borderId="1" xfId="0" applyNumberFormat="1" applyFont="1" applyFill="1" applyBorder="1" applyAlignment="1">
      <alignment horizontal="right" wrapText="1"/>
    </xf>
    <xf numFmtId="0" fontId="1" fillId="3" borderId="1" xfId="0" applyNumberFormat="1" applyFont="1" applyFill="1" applyBorder="1" applyAlignment="1">
      <alignment horizontal="right" wrapText="1"/>
    </xf>
    <xf numFmtId="1" fontId="0" fillId="0" borderId="0" xfId="0" applyNumberFormat="1"/>
    <xf numFmtId="1" fontId="1" fillId="3" borderId="1" xfId="0" applyNumberFormat="1" applyFont="1" applyFill="1" applyBorder="1" applyAlignment="1">
      <alignment horizontal="right" wrapText="1"/>
    </xf>
    <xf numFmtId="0" fontId="0" fillId="0" borderId="0" xfId="0" applyFill="1"/>
    <xf numFmtId="0" fontId="7" fillId="0" borderId="0" xfId="0" applyFont="1"/>
    <xf numFmtId="2" fontId="7" fillId="0" borderId="0" xfId="0" applyNumberFormat="1" applyFont="1"/>
    <xf numFmtId="0" fontId="7" fillId="0" borderId="0" xfId="0" applyFont="1" applyAlignment="1"/>
    <xf numFmtId="0" fontId="7" fillId="2" borderId="0" xfId="0" applyFont="1" applyFill="1" applyAlignment="1"/>
    <xf numFmtId="0" fontId="0" fillId="0" borderId="1" xfId="0" applyBorder="1"/>
    <xf numFmtId="0" fontId="2" fillId="0" borderId="0" xfId="0" applyFont="1" applyBorder="1" applyAlignment="1">
      <alignment wrapText="1"/>
    </xf>
    <xf numFmtId="0" fontId="0" fillId="0" borderId="1" xfId="0" applyBorder="1" applyAlignment="1"/>
    <xf numFmtId="0" fontId="0" fillId="106" borderId="2" xfId="0" applyFill="1" applyBorder="1"/>
    <xf numFmtId="0" fontId="0" fillId="106" borderId="3" xfId="0" applyFill="1" applyBorder="1"/>
    <xf numFmtId="0" fontId="0" fillId="0" borderId="0" xfId="0" applyFill="1" applyBorder="1"/>
    <xf numFmtId="0" fontId="0" fillId="106" borderId="4" xfId="0" applyFill="1" applyBorder="1"/>
    <xf numFmtId="0" fontId="0" fillId="0" borderId="0" xfId="0" applyBorder="1"/>
    <xf numFmtId="0" fontId="1" fillId="21" borderId="0" xfId="0" applyFont="1" applyFill="1" applyBorder="1" applyAlignment="1">
      <alignment horizontal="right" wrapText="1"/>
    </xf>
    <xf numFmtId="0" fontId="3" fillId="9" borderId="0" xfId="0" applyFont="1" applyFill="1" applyBorder="1" applyAlignment="1">
      <alignment horizontal="right" wrapText="1"/>
    </xf>
    <xf numFmtId="0" fontId="3" fillId="14" borderId="0" xfId="0" applyFont="1" applyFill="1" applyBorder="1" applyAlignment="1">
      <alignment horizontal="right" wrapText="1"/>
    </xf>
    <xf numFmtId="0" fontId="1" fillId="11" borderId="0" xfId="0" applyFont="1" applyFill="1" applyBorder="1" applyAlignment="1">
      <alignment horizontal="right" wrapText="1"/>
    </xf>
    <xf numFmtId="0" fontId="1" fillId="3" borderId="0" xfId="0" applyFont="1" applyFill="1" applyBorder="1" applyAlignment="1">
      <alignment horizontal="right" wrapText="1"/>
    </xf>
    <xf numFmtId="0" fontId="1" fillId="6" borderId="0" xfId="0" applyFont="1" applyFill="1" applyBorder="1" applyAlignment="1">
      <alignment horizontal="right" wrapText="1"/>
    </xf>
    <xf numFmtId="0" fontId="1" fillId="83" borderId="1" xfId="0" applyFont="1" applyFill="1" applyBorder="1" applyAlignment="1">
      <alignment horizontal="right" wrapText="1"/>
    </xf>
    <xf numFmtId="0" fontId="1" fillId="18" borderId="0" xfId="0" applyFont="1" applyFill="1" applyBorder="1" applyAlignment="1">
      <alignment horizontal="right" wrapText="1"/>
    </xf>
    <xf numFmtId="0" fontId="1" fillId="16" borderId="0" xfId="0" applyFont="1" applyFill="1" applyBorder="1" applyAlignment="1">
      <alignment horizontal="right" wrapText="1"/>
    </xf>
    <xf numFmtId="0" fontId="1" fillId="83" borderId="1" xfId="0" applyFont="1" applyFill="1" applyBorder="1" applyAlignment="1">
      <alignment horizontal="right"/>
    </xf>
    <xf numFmtId="0" fontId="2" fillId="0" borderId="0" xfId="0" applyFont="1" applyBorder="1" applyAlignment="1"/>
    <xf numFmtId="0" fontId="1" fillId="74" borderId="0" xfId="0" applyFont="1" applyFill="1" applyBorder="1" applyAlignment="1">
      <alignment horizontal="right" wrapText="1"/>
    </xf>
  </cellXfs>
  <cellStyles count="1">
    <cellStyle name="Normal" xfId="0" builtinId="0"/>
  </cellStyles>
  <dxfs count="7"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1" formatCode="0"/>
      <fill>
        <patternFill patternType="solid">
          <fgColor indexed="64"/>
          <bgColor rgb="FFF7F7F2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alette">
        <xsd:complexType>
          <xsd:sequence minOccurs="0">
            <xsd:element minOccurs="0" maxOccurs="unbounded" nillable="true" name="color" form="unqualified">
              <xsd:complexType>
                <xsd:sequence minOccurs="0">
                  <xsd:element minOccurs="0" nillable="true" type="xsd:integer" name="r" form="unqualified"/>
                  <xsd:element minOccurs="0" nillable="true" type="xsd:integer" name="g" form="unqualified"/>
                  <xsd:element minOccurs="0" nillable="true" type="xsd:integer" name="b" form="unqualified"/>
                  <xsd:element minOccurs="0" nillable="true" type="xsd:string" name="name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palette">
        <xsd:complexType>
          <xsd:sequence minOccurs="0">
            <xsd:element minOccurs="0" maxOccurs="unbounded" nillable="true" name="color" form="unqualified">
              <xsd:complexType>
                <xsd:sequence minOccurs="0">
                  <xsd:element minOccurs="0" nillable="true" type="xsd:integer" name="r" form="unqualified"/>
                  <xsd:element minOccurs="0" nillable="true" type="xsd:integer" name="g" form="unqualified"/>
                  <xsd:element minOccurs="0" nillable="true" type="xsd:integer" name="b" form="unqualified"/>
                  <xsd:element minOccurs="0" nillable="true" type="xsd:string" name="name" form="unqualified"/>
                </xsd:sequence>
              </xsd:complexType>
            </xsd:element>
          </xsd:sequence>
        </xsd:complexType>
      </xsd:element>
    </xsd:schema>
  </Schema>
  <Map ID="1" Name="palette_Map" RootElement="palette" SchemaID="Schema1" ShowImportExportValidationErrors="false" AutoFit="true" Append="false" PreserveSortAFLayout="true" PreserveFormat="true">
    <DataBinding FileBinding="true" ConnectionID="1" DataBindingLoadMode="1"/>
  </Map>
  <Map ID="3" Name="palette_Map1" RootElement="palette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G2:S133" totalsRowShown="0" headerRowDxfId="6">
  <autoFilter ref="G2:S133"/>
  <sortState ref="G3:S133">
    <sortCondition ref="R2:R133"/>
  </sortState>
  <tableColumns count="13">
    <tableColumn id="1" name="index"/>
    <tableColumn id="2" name="P#"/>
    <tableColumn id="3" name="#" dataDxfId="5"/>
    <tableColumn id="4" name="name"/>
    <tableColumn id="5" name="Count"/>
    <tableColumn id="6" name="R" dataDxfId="4">
      <calculatedColumnFormula>HEX2DEC(LEFT(P3,2))</calculatedColumnFormula>
    </tableColumn>
    <tableColumn id="7" name="G" dataDxfId="3">
      <calculatedColumnFormula>HEX2DEC(MID(P3,3,2))</calculatedColumnFormula>
    </tableColumn>
    <tableColumn id="8" name="B" dataDxfId="2">
      <calculatedColumnFormula>HEX2DEC(RIGHT(P3,2))</calculatedColumnFormula>
    </tableColumn>
    <tableColumn id="9" name="RGB"/>
    <tableColumn id="10" name="HEX"/>
    <tableColumn id="11" name="Column1"/>
    <tableColumn id="12" name="CLOSE1" dataDxfId="1">
      <calculatedColumnFormula>SQRT(($U$2-L3)^2+($V$2-M3)^2+($W$2-N3)^2)</calculatedColumnFormula>
    </tableColumn>
    <tableColumn id="13" name="CLOSE2" dataDxfId="0">
      <calculatedColumnFormula>SQRT((2+(($U$2+L3)/2)/256)*($U$2-L3)^2 + 4*($V$2-M3)^2 + (2+(255-(($U$2+L3)/2))/256)*($W$2-N3)^2)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3"/>
  <sheetViews>
    <sheetView tabSelected="1" zoomScale="70" zoomScaleNormal="70" workbookViewId="0">
      <selection activeCell="B21" sqref="B21"/>
    </sheetView>
  </sheetViews>
  <sheetFormatPr defaultRowHeight="15" x14ac:dyDescent="0.25"/>
  <cols>
    <col min="1" max="1" width="10.7109375" customWidth="1"/>
    <col min="2" max="3" width="19.28515625" customWidth="1"/>
    <col min="4" max="4" width="11" customWidth="1"/>
    <col min="7" max="7" width="13" customWidth="1"/>
    <col min="9" max="9" width="8.7109375" style="1"/>
    <col min="10" max="11" width="19.42578125" style="100" customWidth="1"/>
    <col min="12" max="12" width="19.28515625" style="243" customWidth="1"/>
    <col min="13" max="13" width="5.85546875" style="243" customWidth="1"/>
    <col min="14" max="14" width="6.5703125" style="243" customWidth="1"/>
    <col min="15" max="15" width="12.5703125" style="100" customWidth="1"/>
    <col min="16" max="16" width="10.42578125" customWidth="1"/>
    <col min="17" max="17" width="19" customWidth="1"/>
    <col min="18" max="19" width="16.5703125" customWidth="1"/>
  </cols>
  <sheetData>
    <row r="1" spans="1:23" ht="14.65" customHeight="1" x14ac:dyDescent="0.25">
      <c r="A1" t="s">
        <v>337</v>
      </c>
      <c r="B1" t="s">
        <v>339</v>
      </c>
      <c r="C1" t="s">
        <v>338</v>
      </c>
      <c r="D1" t="s">
        <v>340</v>
      </c>
      <c r="E1" t="s">
        <v>340</v>
      </c>
      <c r="U1" t="s">
        <v>336</v>
      </c>
    </row>
    <row r="2" spans="1:23" ht="19.5" thickBot="1" x14ac:dyDescent="0.35">
      <c r="A2" s="258">
        <v>1</v>
      </c>
      <c r="B2" s="258">
        <v>57</v>
      </c>
      <c r="C2" s="258" t="str">
        <f>IF(B2&gt;0,VLOOKUP(B2,$I$3:$K$133,2,FALSE),"")</f>
        <v>Cheddar</v>
      </c>
      <c r="D2" s="258">
        <f>IF(B2&gt;0,VLOOKUP(B2,$I$3:$K$133,3,FALSE),"")</f>
        <v>1000</v>
      </c>
      <c r="G2" s="251" t="s">
        <v>342</v>
      </c>
      <c r="H2" s="251" t="s">
        <v>343</v>
      </c>
      <c r="I2" s="252" t="s">
        <v>344</v>
      </c>
      <c r="J2" s="253" t="s">
        <v>345</v>
      </c>
      <c r="K2" s="253" t="s">
        <v>341</v>
      </c>
      <c r="L2" s="254" t="s">
        <v>346</v>
      </c>
      <c r="M2" s="254" t="s">
        <v>347</v>
      </c>
      <c r="N2" s="254" t="s">
        <v>348</v>
      </c>
      <c r="O2" s="254" t="s">
        <v>349</v>
      </c>
      <c r="P2" s="254" t="s">
        <v>350</v>
      </c>
      <c r="Q2" s="251" t="s">
        <v>353</v>
      </c>
      <c r="R2" s="254" t="s">
        <v>351</v>
      </c>
      <c r="S2" s="254" t="s">
        <v>352</v>
      </c>
      <c r="U2">
        <v>181</v>
      </c>
      <c r="V2">
        <v>127</v>
      </c>
      <c r="W2">
        <v>69</v>
      </c>
    </row>
    <row r="3" spans="1:23" ht="15.75" thickBot="1" x14ac:dyDescent="0.3">
      <c r="A3" s="258">
        <v>2</v>
      </c>
      <c r="B3" s="258">
        <v>18</v>
      </c>
      <c r="C3" s="258" t="str">
        <f>IF(B3&gt;0,VLOOKUP(B3,$I$3:$K$133,2,FALSE),"")</f>
        <v>Black</v>
      </c>
      <c r="D3" s="258">
        <f>IF(B3&gt;0,VLOOKUP(B3,$I$3:$K$133,3,FALSE),"")</f>
        <v>8000</v>
      </c>
      <c r="G3">
        <v>86</v>
      </c>
      <c r="H3" s="72" t="s">
        <v>221</v>
      </c>
      <c r="I3" s="247">
        <v>85</v>
      </c>
      <c r="J3" s="164" t="s">
        <v>222</v>
      </c>
      <c r="K3" s="164">
        <v>1400</v>
      </c>
      <c r="L3" s="244">
        <f t="shared" ref="L3:L33" si="0">HEX2DEC(LEFT(P3,2))</f>
        <v>181</v>
      </c>
      <c r="M3" s="244">
        <f t="shared" ref="M3:M48" si="1">HEX2DEC(MID(P3,3,2))</f>
        <v>127</v>
      </c>
      <c r="N3" s="244">
        <f>HEX2DEC(RIGHT(P3,2))</f>
        <v>69</v>
      </c>
      <c r="O3" s="164" t="s">
        <v>223</v>
      </c>
      <c r="P3" s="72" t="s">
        <v>224</v>
      </c>
      <c r="Q3" s="72" t="s">
        <v>4</v>
      </c>
      <c r="R3" s="248">
        <f t="shared" ref="R3:R34" si="2">SQRT(($U$2-L3)^2+($V$2-M3)^2+($W$2-N3)^2)</f>
        <v>0</v>
      </c>
      <c r="S3" s="248">
        <f t="shared" ref="S3:S34" si="3">SQRT((2+(($U$2+L3)/2)/256)*($U$2-L3)^2 + 4*($V$2-M3)^2 + (2+(255-(($U$2+L3)/2))/256)*($W$2-N3)^2)</f>
        <v>0</v>
      </c>
      <c r="V3" s="250"/>
      <c r="W3" s="250"/>
    </row>
    <row r="4" spans="1:23" ht="15.75" thickBot="1" x14ac:dyDescent="0.3">
      <c r="A4" s="258">
        <v>3</v>
      </c>
      <c r="B4" s="258">
        <v>92</v>
      </c>
      <c r="C4" s="258" t="str">
        <f t="shared" ref="C4:C8" si="4">IF(B4&gt;0,VLOOKUP(B4,$I$3:$K$133,2,FALSE),"")</f>
        <v>Dark Gray</v>
      </c>
      <c r="D4" s="258">
        <f t="shared" ref="D4:D8" si="5">IF(B4&gt;0,VLOOKUP(B4,$I$3:$K$133,3,FALSE),"")</f>
        <v>4000</v>
      </c>
      <c r="G4">
        <v>21</v>
      </c>
      <c r="H4" s="21" t="s">
        <v>48</v>
      </c>
      <c r="I4" s="247">
        <v>21</v>
      </c>
      <c r="J4" s="115" t="s">
        <v>49</v>
      </c>
      <c r="K4" s="115">
        <v>1100</v>
      </c>
      <c r="L4" s="244">
        <f t="shared" si="0"/>
        <v>157</v>
      </c>
      <c r="M4" s="244">
        <f t="shared" si="1"/>
        <v>113</v>
      </c>
      <c r="N4" s="244">
        <v>82</v>
      </c>
      <c r="O4" s="115" t="s">
        <v>50</v>
      </c>
      <c r="P4" s="21" t="s">
        <v>51</v>
      </c>
      <c r="Q4" s="21" t="s">
        <v>4</v>
      </c>
      <c r="R4" s="248">
        <f t="shared" si="2"/>
        <v>30.675723300355934</v>
      </c>
      <c r="S4" s="248">
        <f t="shared" si="3"/>
        <v>52.067489256732941</v>
      </c>
      <c r="V4" s="250"/>
      <c r="W4" s="250"/>
    </row>
    <row r="5" spans="1:23" ht="15.75" thickBot="1" x14ac:dyDescent="0.3">
      <c r="A5" s="258">
        <v>4</v>
      </c>
      <c r="B5" s="258">
        <v>207</v>
      </c>
      <c r="C5" s="258" t="str">
        <f t="shared" si="4"/>
        <v>Charcoal</v>
      </c>
      <c r="D5" s="258">
        <f t="shared" si="5"/>
        <v>2500</v>
      </c>
      <c r="G5">
        <v>87</v>
      </c>
      <c r="H5" s="73" t="s">
        <v>328</v>
      </c>
      <c r="I5" s="247">
        <v>301</v>
      </c>
      <c r="J5" s="165" t="s">
        <v>225</v>
      </c>
      <c r="K5" s="165">
        <v>0</v>
      </c>
      <c r="L5" s="244">
        <f t="shared" si="0"/>
        <v>151</v>
      </c>
      <c r="M5" s="244">
        <f t="shared" si="1"/>
        <v>99</v>
      </c>
      <c r="N5" s="244">
        <f t="shared" ref="N5:N48" si="6">HEX2DEC(RIGHT(P5,2))</f>
        <v>78</v>
      </c>
      <c r="O5" s="165" t="s">
        <v>226</v>
      </c>
      <c r="P5" s="73" t="s">
        <v>227</v>
      </c>
      <c r="Q5" s="73" t="s">
        <v>4</v>
      </c>
      <c r="R5" s="248">
        <f t="shared" si="2"/>
        <v>42.01190307520001</v>
      </c>
      <c r="S5" s="248">
        <f t="shared" si="3"/>
        <v>75.562913563797949</v>
      </c>
      <c r="V5" s="250"/>
      <c r="W5" s="250"/>
    </row>
    <row r="6" spans="1:23" ht="15.75" thickBot="1" x14ac:dyDescent="0.3">
      <c r="A6" s="258">
        <v>5</v>
      </c>
      <c r="B6" s="258">
        <v>17</v>
      </c>
      <c r="C6" s="258" t="str">
        <f t="shared" si="4"/>
        <v>Gray</v>
      </c>
      <c r="D6" s="258">
        <f t="shared" si="5"/>
        <v>1000</v>
      </c>
      <c r="G6">
        <v>32</v>
      </c>
      <c r="H6" s="28" t="s">
        <v>74</v>
      </c>
      <c r="I6" s="247">
        <v>90</v>
      </c>
      <c r="J6" s="122" t="s">
        <v>75</v>
      </c>
      <c r="K6" s="122">
        <v>5000</v>
      </c>
      <c r="L6" s="244">
        <f t="shared" si="0"/>
        <v>225</v>
      </c>
      <c r="M6" s="244">
        <f t="shared" si="1"/>
        <v>154</v>
      </c>
      <c r="N6" s="244">
        <f t="shared" si="6"/>
        <v>82</v>
      </c>
      <c r="O6" s="122" t="s">
        <v>76</v>
      </c>
      <c r="P6" s="28" t="s">
        <v>77</v>
      </c>
      <c r="Q6" s="28" t="s">
        <v>4</v>
      </c>
      <c r="R6" s="248">
        <f t="shared" si="2"/>
        <v>53.235326616824658</v>
      </c>
      <c r="S6" s="248">
        <f t="shared" si="3"/>
        <v>93.249748659178707</v>
      </c>
      <c r="V6" s="250"/>
      <c r="W6" s="250"/>
    </row>
    <row r="7" spans="1:23" ht="15.75" thickBot="1" x14ac:dyDescent="0.3">
      <c r="A7" s="258">
        <v>6</v>
      </c>
      <c r="B7" s="258">
        <v>81</v>
      </c>
      <c r="C7" s="258" t="str">
        <f t="shared" si="4"/>
        <v>Light Gray</v>
      </c>
      <c r="D7" s="258">
        <f t="shared" si="5"/>
        <v>8000</v>
      </c>
      <c r="G7">
        <v>17</v>
      </c>
      <c r="H7" s="17" t="s">
        <v>40</v>
      </c>
      <c r="I7" s="247">
        <v>20</v>
      </c>
      <c r="J7" s="113" t="s">
        <v>41</v>
      </c>
      <c r="K7" s="113">
        <v>700</v>
      </c>
      <c r="L7" s="244">
        <f t="shared" si="0"/>
        <v>160</v>
      </c>
      <c r="M7" s="244">
        <f t="shared" si="1"/>
        <v>78</v>
      </c>
      <c r="N7" s="244">
        <f t="shared" si="6"/>
        <v>63</v>
      </c>
      <c r="O7" s="113" t="s">
        <v>42</v>
      </c>
      <c r="P7" s="18" t="s">
        <v>43</v>
      </c>
      <c r="Q7" s="17" t="s">
        <v>4</v>
      </c>
      <c r="R7" s="248">
        <f t="shared" si="2"/>
        <v>53.646994324006634</v>
      </c>
      <c r="S7" s="248">
        <f t="shared" si="3"/>
        <v>104.22857431206185</v>
      </c>
      <c r="V7" s="250"/>
      <c r="W7" s="250"/>
    </row>
    <row r="8" spans="1:23" ht="15.75" thickBot="1" x14ac:dyDescent="0.3">
      <c r="A8" s="258">
        <v>7</v>
      </c>
      <c r="B8" s="258">
        <v>1</v>
      </c>
      <c r="C8" s="258" t="str">
        <f t="shared" si="4"/>
        <v>White</v>
      </c>
      <c r="D8" s="258">
        <f t="shared" si="5"/>
        <v>8000</v>
      </c>
      <c r="G8">
        <v>102</v>
      </c>
      <c r="H8" s="85" t="s">
        <v>215</v>
      </c>
      <c r="I8" s="246"/>
      <c r="J8" s="176" t="s">
        <v>256</v>
      </c>
      <c r="K8" s="176"/>
      <c r="L8" s="244">
        <f t="shared" si="0"/>
        <v>186</v>
      </c>
      <c r="M8" s="244">
        <f t="shared" si="1"/>
        <v>180</v>
      </c>
      <c r="N8" s="244">
        <f t="shared" si="6"/>
        <v>86</v>
      </c>
      <c r="O8" s="176" t="s">
        <v>257</v>
      </c>
      <c r="P8" s="85" t="s">
        <v>258</v>
      </c>
      <c r="Q8" s="85" t="s">
        <v>4</v>
      </c>
      <c r="R8" s="248">
        <f t="shared" si="2"/>
        <v>55.883808030591474</v>
      </c>
      <c r="S8" s="248">
        <f t="shared" si="3"/>
        <v>109.37383927955533</v>
      </c>
      <c r="V8" s="250"/>
      <c r="W8" s="250"/>
    </row>
    <row r="9" spans="1:23" ht="15.75" thickBot="1" x14ac:dyDescent="0.3">
      <c r="A9" s="258">
        <v>8</v>
      </c>
      <c r="B9" s="261">
        <v>20</v>
      </c>
      <c r="C9" s="258" t="str">
        <f t="shared" ref="C9:C12" si="7">IF(B9&gt;0,VLOOKUP(B9,$I$3:$K$133,2,FALSE),"")</f>
        <v>Rust</v>
      </c>
      <c r="D9" s="258">
        <f t="shared" ref="D9:D12" si="8">IF(B9&gt;0,VLOOKUP(B9,$I$3:$K$133,3,FALSE),"")</f>
        <v>700</v>
      </c>
      <c r="G9">
        <v>129</v>
      </c>
      <c r="H9" s="255"/>
      <c r="I9" s="249">
        <v>212</v>
      </c>
      <c r="J9" s="240" t="s">
        <v>316</v>
      </c>
      <c r="K9" s="240">
        <v>2800</v>
      </c>
      <c r="L9" s="244">
        <f t="shared" si="0"/>
        <v>227</v>
      </c>
      <c r="M9" s="244">
        <f t="shared" si="1"/>
        <v>92</v>
      </c>
      <c r="N9" s="244">
        <f t="shared" si="6"/>
        <v>68</v>
      </c>
      <c r="O9" s="240" t="s">
        <v>317</v>
      </c>
      <c r="P9" s="240" t="s">
        <v>318</v>
      </c>
      <c r="Q9" s="240" t="s">
        <v>4</v>
      </c>
      <c r="R9" s="248">
        <f t="shared" si="2"/>
        <v>57.810033731178535</v>
      </c>
      <c r="S9" s="248">
        <f t="shared" si="3"/>
        <v>104.02108785602081</v>
      </c>
      <c r="V9" s="250"/>
      <c r="W9" s="250"/>
    </row>
    <row r="10" spans="1:23" ht="15.75" thickBot="1" x14ac:dyDescent="0.3">
      <c r="A10" s="258">
        <v>9</v>
      </c>
      <c r="B10" s="258">
        <v>21</v>
      </c>
      <c r="C10" s="258" t="str">
        <f t="shared" si="7"/>
        <v>Light Brown</v>
      </c>
      <c r="D10" s="258">
        <f t="shared" si="8"/>
        <v>1100</v>
      </c>
      <c r="G10">
        <v>122</v>
      </c>
      <c r="H10" s="255"/>
      <c r="I10" s="249">
        <v>219</v>
      </c>
      <c r="J10" s="232" t="s">
        <v>295</v>
      </c>
      <c r="K10" s="232">
        <v>2000</v>
      </c>
      <c r="L10" s="244">
        <f t="shared" si="0"/>
        <v>123</v>
      </c>
      <c r="M10" s="244">
        <f t="shared" si="1"/>
        <v>151</v>
      </c>
      <c r="N10" s="244">
        <f t="shared" si="6"/>
        <v>48</v>
      </c>
      <c r="O10" s="232" t="s">
        <v>296</v>
      </c>
      <c r="P10" s="232" t="s">
        <v>297</v>
      </c>
      <c r="Q10" s="232" t="s">
        <v>4</v>
      </c>
      <c r="R10" s="248">
        <f t="shared" si="2"/>
        <v>66.189122973491649</v>
      </c>
      <c r="S10" s="248">
        <f t="shared" si="3"/>
        <v>109.94911820360362</v>
      </c>
      <c r="V10" s="250"/>
      <c r="W10" s="250"/>
    </row>
    <row r="11" spans="1:23" ht="15.75" thickBot="1" x14ac:dyDescent="0.3">
      <c r="A11" s="258">
        <v>10</v>
      </c>
      <c r="B11" s="258">
        <v>85</v>
      </c>
      <c r="C11" s="258" t="str">
        <f t="shared" si="7"/>
        <v>Gold</v>
      </c>
      <c r="D11" s="258">
        <f t="shared" si="8"/>
        <v>1400</v>
      </c>
      <c r="G11">
        <v>123</v>
      </c>
      <c r="H11" s="255"/>
      <c r="I11" s="249">
        <v>402</v>
      </c>
      <c r="J11" s="233" t="s">
        <v>298</v>
      </c>
      <c r="K11" s="233">
        <v>0</v>
      </c>
      <c r="L11" s="244">
        <f t="shared" si="0"/>
        <v>114</v>
      </c>
      <c r="M11" s="244">
        <f t="shared" si="1"/>
        <v>118</v>
      </c>
      <c r="N11" s="244">
        <f t="shared" si="6"/>
        <v>62</v>
      </c>
      <c r="O11" s="233" t="s">
        <v>299</v>
      </c>
      <c r="P11" s="234" t="s">
        <v>300</v>
      </c>
      <c r="Q11" s="233" t="s">
        <v>4</v>
      </c>
      <c r="R11" s="248">
        <f t="shared" si="2"/>
        <v>67.963225350184786</v>
      </c>
      <c r="S11" s="248">
        <f t="shared" si="3"/>
        <v>109.57651079839145</v>
      </c>
      <c r="V11" s="250"/>
      <c r="W11" s="250"/>
    </row>
    <row r="12" spans="1:23" ht="15.75" thickBot="1" x14ac:dyDescent="0.3">
      <c r="A12" s="258">
        <v>11</v>
      </c>
      <c r="B12" s="258">
        <v>96</v>
      </c>
      <c r="C12" s="258" t="str">
        <f t="shared" si="7"/>
        <v>Cranapple</v>
      </c>
      <c r="D12" s="258">
        <f t="shared" si="8"/>
        <v>4500</v>
      </c>
      <c r="G12">
        <v>45</v>
      </c>
      <c r="H12" s="38" t="s">
        <v>108</v>
      </c>
      <c r="I12" s="247">
        <v>5</v>
      </c>
      <c r="J12" s="132" t="s">
        <v>109</v>
      </c>
      <c r="K12" s="132">
        <v>3000</v>
      </c>
      <c r="L12" s="244">
        <f t="shared" si="0"/>
        <v>196</v>
      </c>
      <c r="M12" s="244">
        <f t="shared" si="1"/>
        <v>58</v>
      </c>
      <c r="N12" s="244">
        <f t="shared" si="6"/>
        <v>68</v>
      </c>
      <c r="O12" s="132" t="s">
        <v>110</v>
      </c>
      <c r="P12" s="38" t="s">
        <v>111</v>
      </c>
      <c r="Q12" s="38" t="s">
        <v>4</v>
      </c>
      <c r="R12" s="248">
        <f t="shared" si="2"/>
        <v>70.618694408775355</v>
      </c>
      <c r="S12" s="248">
        <f t="shared" si="3"/>
        <v>140.22101694735352</v>
      </c>
      <c r="V12" s="250"/>
      <c r="W12" s="250"/>
    </row>
    <row r="13" spans="1:23" ht="15.75" thickBot="1" x14ac:dyDescent="0.3">
      <c r="A13" s="258">
        <v>12</v>
      </c>
      <c r="B13" s="258">
        <v>5</v>
      </c>
      <c r="C13" s="258" t="str">
        <f t="shared" ref="C13:C40" si="9">IF(B13&gt;0,VLOOKUP(B13,$I$3:$K$133,2,FALSE),"")</f>
        <v>Red</v>
      </c>
      <c r="D13" s="258">
        <f t="shared" ref="D13:D40" si="10">IF(B13&gt;0,VLOOKUP(B13,$I$3:$K$133,3,FALSE),"")</f>
        <v>3000</v>
      </c>
      <c r="G13">
        <v>31</v>
      </c>
      <c r="H13" s="27" t="s">
        <v>70</v>
      </c>
      <c r="I13" s="247">
        <v>4</v>
      </c>
      <c r="J13" s="121" t="s">
        <v>71</v>
      </c>
      <c r="K13" s="121">
        <v>3000</v>
      </c>
      <c r="L13" s="244">
        <f t="shared" si="0"/>
        <v>255</v>
      </c>
      <c r="M13" s="244">
        <f t="shared" si="1"/>
        <v>128</v>
      </c>
      <c r="N13" s="244">
        <f t="shared" si="6"/>
        <v>62</v>
      </c>
      <c r="O13" s="121" t="s">
        <v>72</v>
      </c>
      <c r="P13" s="27" t="s">
        <v>73</v>
      </c>
      <c r="Q13" s="27" t="s">
        <v>4</v>
      </c>
      <c r="R13" s="248">
        <f t="shared" si="2"/>
        <v>74.337070160183202</v>
      </c>
      <c r="S13" s="248">
        <f t="shared" si="3"/>
        <v>125.39632483151171</v>
      </c>
      <c r="V13" s="250"/>
      <c r="W13" s="250"/>
    </row>
    <row r="14" spans="1:23" ht="15.75" thickBot="1" x14ac:dyDescent="0.3">
      <c r="A14" s="258">
        <v>13</v>
      </c>
      <c r="B14" s="258">
        <v>212</v>
      </c>
      <c r="C14" s="258" t="str">
        <f t="shared" si="9"/>
        <v>Spice</v>
      </c>
      <c r="D14" s="258">
        <f t="shared" si="10"/>
        <v>2800</v>
      </c>
      <c r="G14">
        <v>46</v>
      </c>
      <c r="H14" s="39" t="s">
        <v>112</v>
      </c>
      <c r="I14" s="247">
        <v>961</v>
      </c>
      <c r="J14" s="133" t="s">
        <v>113</v>
      </c>
      <c r="K14" s="133">
        <v>100</v>
      </c>
      <c r="L14" s="244">
        <f t="shared" si="0"/>
        <v>173</v>
      </c>
      <c r="M14" s="244">
        <f t="shared" si="1"/>
        <v>51</v>
      </c>
      <c r="N14" s="244">
        <f t="shared" si="6"/>
        <v>69</v>
      </c>
      <c r="O14" s="133" t="s">
        <v>114</v>
      </c>
      <c r="P14" s="40" t="s">
        <v>115</v>
      </c>
      <c r="Q14" s="39" t="s">
        <v>4</v>
      </c>
      <c r="R14" s="248">
        <f t="shared" si="2"/>
        <v>76.419892698171196</v>
      </c>
      <c r="S14" s="248">
        <f t="shared" si="3"/>
        <v>152.56555967845429</v>
      </c>
      <c r="V14" s="250"/>
      <c r="W14" s="250"/>
    </row>
    <row r="15" spans="1:23" ht="15.75" thickBot="1" x14ac:dyDescent="0.3">
      <c r="A15" s="258">
        <v>14</v>
      </c>
      <c r="B15" s="258">
        <v>4</v>
      </c>
      <c r="C15" s="258" t="str">
        <f t="shared" si="9"/>
        <v>Orange</v>
      </c>
      <c r="D15" s="258">
        <f t="shared" si="10"/>
        <v>3000</v>
      </c>
      <c r="G15">
        <v>47</v>
      </c>
      <c r="H15" s="41" t="s">
        <v>116</v>
      </c>
      <c r="I15" s="247">
        <v>88</v>
      </c>
      <c r="J15" s="134" t="s">
        <v>117</v>
      </c>
      <c r="K15" s="134">
        <v>900</v>
      </c>
      <c r="L15" s="244">
        <f t="shared" si="0"/>
        <v>173</v>
      </c>
      <c r="M15" s="244">
        <f t="shared" si="1"/>
        <v>60</v>
      </c>
      <c r="N15" s="244">
        <f t="shared" si="6"/>
        <v>108</v>
      </c>
      <c r="O15" s="134" t="s">
        <v>118</v>
      </c>
      <c r="P15" s="41" t="s">
        <v>119</v>
      </c>
      <c r="Q15" s="41" t="s">
        <v>4</v>
      </c>
      <c r="R15" s="248">
        <f t="shared" si="2"/>
        <v>77.935871073594853</v>
      </c>
      <c r="S15" s="248">
        <f t="shared" si="3"/>
        <v>147.08392056067856</v>
      </c>
      <c r="V15" s="250"/>
      <c r="W15" s="250"/>
    </row>
    <row r="16" spans="1:23" ht="15.75" thickBot="1" x14ac:dyDescent="0.3">
      <c r="A16" s="258">
        <v>15</v>
      </c>
      <c r="B16" s="258">
        <v>90</v>
      </c>
      <c r="C16" s="258" t="str">
        <f t="shared" si="9"/>
        <v>Butterscotch</v>
      </c>
      <c r="D16" s="258">
        <f t="shared" si="10"/>
        <v>5000</v>
      </c>
      <c r="G16">
        <v>19</v>
      </c>
      <c r="H16" s="19" t="s">
        <v>44</v>
      </c>
      <c r="I16" s="247">
        <v>96</v>
      </c>
      <c r="J16" s="114" t="s">
        <v>45</v>
      </c>
      <c r="K16" s="114">
        <v>4500</v>
      </c>
      <c r="L16" s="244">
        <f t="shared" si="0"/>
        <v>136</v>
      </c>
      <c r="M16" s="244">
        <f t="shared" si="1"/>
        <v>64</v>
      </c>
      <c r="N16" s="244">
        <f t="shared" si="6"/>
        <v>79</v>
      </c>
      <c r="O16" s="114" t="s">
        <v>46</v>
      </c>
      <c r="P16" s="20" t="s">
        <v>47</v>
      </c>
      <c r="Q16" s="19" t="s">
        <v>4</v>
      </c>
      <c r="R16" s="248">
        <f t="shared" si="2"/>
        <v>78.064076245094967</v>
      </c>
      <c r="S16" s="248">
        <f t="shared" si="3"/>
        <v>146.34703645146013</v>
      </c>
      <c r="V16" s="250"/>
      <c r="W16" s="250"/>
    </row>
    <row r="17" spans="1:23" ht="15.75" thickBot="1" x14ac:dyDescent="0.3">
      <c r="A17" s="258">
        <v>16</v>
      </c>
      <c r="B17" s="258">
        <v>12</v>
      </c>
      <c r="C17" s="258" t="str">
        <f t="shared" si="9"/>
        <v>Brown</v>
      </c>
      <c r="D17" s="258">
        <f t="shared" si="10"/>
        <v>500</v>
      </c>
      <c r="G17">
        <v>99</v>
      </c>
      <c r="H17" s="82" t="s">
        <v>215</v>
      </c>
      <c r="I17" s="246"/>
      <c r="J17" s="173" t="s">
        <v>249</v>
      </c>
      <c r="K17" s="173"/>
      <c r="L17" s="244">
        <f t="shared" si="0"/>
        <v>157</v>
      </c>
      <c r="M17" s="244">
        <f t="shared" si="1"/>
        <v>56</v>
      </c>
      <c r="N17" s="244">
        <f t="shared" si="6"/>
        <v>46</v>
      </c>
      <c r="O17" s="173" t="s">
        <v>250</v>
      </c>
      <c r="P17" s="82" t="s">
        <v>251</v>
      </c>
      <c r="Q17" s="82" t="s">
        <v>4</v>
      </c>
      <c r="R17" s="248">
        <f t="shared" si="2"/>
        <v>78.396428490078549</v>
      </c>
      <c r="S17" s="248">
        <f t="shared" si="3"/>
        <v>151.43302459338253</v>
      </c>
      <c r="V17" s="250"/>
      <c r="W17" s="250"/>
    </row>
    <row r="18" spans="1:23" ht="15.75" thickBot="1" x14ac:dyDescent="0.3">
      <c r="A18" s="258">
        <v>17</v>
      </c>
      <c r="B18" s="258">
        <v>3</v>
      </c>
      <c r="C18" s="258" t="str">
        <f t="shared" si="9"/>
        <v>Yellow</v>
      </c>
      <c r="D18" s="258">
        <f t="shared" si="10"/>
        <v>3000</v>
      </c>
      <c r="G18">
        <v>82</v>
      </c>
      <c r="H18" s="69" t="s">
        <v>211</v>
      </c>
      <c r="I18" s="247">
        <v>48</v>
      </c>
      <c r="J18" s="161" t="s">
        <v>212</v>
      </c>
      <c r="K18" s="161">
        <v>0</v>
      </c>
      <c r="L18" s="244">
        <f t="shared" si="0"/>
        <v>255</v>
      </c>
      <c r="M18" s="244">
        <f t="shared" si="1"/>
        <v>141</v>
      </c>
      <c r="N18" s="244">
        <f t="shared" si="6"/>
        <v>46</v>
      </c>
      <c r="O18" s="161" t="s">
        <v>213</v>
      </c>
      <c r="P18" s="69" t="s">
        <v>214</v>
      </c>
      <c r="Q18" s="69" t="s">
        <v>4</v>
      </c>
      <c r="R18" s="248">
        <f t="shared" si="2"/>
        <v>78.746428490440124</v>
      </c>
      <c r="S18" s="248">
        <f t="shared" si="3"/>
        <v>132.41455086677595</v>
      </c>
      <c r="V18" s="250"/>
      <c r="W18" s="250"/>
    </row>
    <row r="19" spans="1:23" ht="15.75" thickBot="1" x14ac:dyDescent="0.3">
      <c r="A19" s="258">
        <v>18</v>
      </c>
      <c r="B19" s="258">
        <v>2</v>
      </c>
      <c r="C19" s="258" t="str">
        <f t="shared" si="9"/>
        <v>Cream</v>
      </c>
      <c r="D19" s="258">
        <f t="shared" si="10"/>
        <v>1000</v>
      </c>
      <c r="G19">
        <v>130</v>
      </c>
      <c r="H19" s="255"/>
      <c r="I19" s="249">
        <v>409</v>
      </c>
      <c r="J19" s="241" t="s">
        <v>319</v>
      </c>
      <c r="K19" s="241">
        <v>0</v>
      </c>
      <c r="L19" s="244">
        <f t="shared" si="0"/>
        <v>234</v>
      </c>
      <c r="M19" s="244">
        <f t="shared" si="1"/>
        <v>66</v>
      </c>
      <c r="N19" s="244">
        <f t="shared" si="6"/>
        <v>65</v>
      </c>
      <c r="O19" s="241" t="s">
        <v>320</v>
      </c>
      <c r="P19" s="241" t="s">
        <v>321</v>
      </c>
      <c r="Q19" s="241" t="s">
        <v>4</v>
      </c>
      <c r="R19" s="248">
        <f t="shared" si="2"/>
        <v>80.907354424675134</v>
      </c>
      <c r="S19" s="248">
        <f t="shared" si="3"/>
        <v>151.04236134897718</v>
      </c>
      <c r="V19" s="250"/>
      <c r="W19" s="250"/>
    </row>
    <row r="20" spans="1:23" ht="15.75" thickBot="1" x14ac:dyDescent="0.3">
      <c r="A20" s="258">
        <v>19</v>
      </c>
      <c r="B20" s="258">
        <v>97</v>
      </c>
      <c r="C20" s="258" t="str">
        <f t="shared" si="9"/>
        <v>Prickly Pear</v>
      </c>
      <c r="D20" s="258">
        <f t="shared" si="10"/>
        <v>1000</v>
      </c>
      <c r="G20">
        <v>34</v>
      </c>
      <c r="H20" s="29" t="s">
        <v>78</v>
      </c>
      <c r="I20" s="247">
        <v>59</v>
      </c>
      <c r="J20" s="123" t="s">
        <v>79</v>
      </c>
      <c r="K20" s="123">
        <v>500</v>
      </c>
      <c r="L20" s="244">
        <f t="shared" si="0"/>
        <v>255</v>
      </c>
      <c r="M20" s="244">
        <f t="shared" si="1"/>
        <v>97</v>
      </c>
      <c r="N20" s="244">
        <f t="shared" si="6"/>
        <v>88</v>
      </c>
      <c r="O20" s="123" t="s">
        <v>80</v>
      </c>
      <c r="P20" s="29" t="s">
        <v>81</v>
      </c>
      <c r="Q20" s="29" t="s">
        <v>4</v>
      </c>
      <c r="R20" s="248">
        <f t="shared" si="2"/>
        <v>82.079230015881606</v>
      </c>
      <c r="S20" s="248">
        <f t="shared" si="3"/>
        <v>141.38363424120206</v>
      </c>
      <c r="V20" s="250"/>
      <c r="W20" s="250"/>
    </row>
    <row r="21" spans="1:23" ht="15.75" thickBot="1" x14ac:dyDescent="0.3">
      <c r="A21" s="258">
        <v>20</v>
      </c>
      <c r="B21" s="258">
        <v>53</v>
      </c>
      <c r="C21" s="258" t="str">
        <f t="shared" si="9"/>
        <v>Pastel Green</v>
      </c>
      <c r="D21" s="258">
        <f t="shared" si="10"/>
        <v>1000</v>
      </c>
      <c r="G21">
        <v>119</v>
      </c>
      <c r="H21" s="99" t="s">
        <v>215</v>
      </c>
      <c r="I21" s="246"/>
      <c r="J21" s="190" t="s">
        <v>290</v>
      </c>
      <c r="K21" s="190"/>
      <c r="L21" s="244">
        <f t="shared" si="0"/>
        <v>234</v>
      </c>
      <c r="M21" s="244">
        <f t="shared" si="1"/>
        <v>175</v>
      </c>
      <c r="N21" s="244">
        <f t="shared" si="6"/>
        <v>111</v>
      </c>
      <c r="O21" s="230">
        <v>234175111</v>
      </c>
      <c r="P21" s="99" t="s">
        <v>291</v>
      </c>
      <c r="Q21" s="99" t="s">
        <v>4</v>
      </c>
      <c r="R21" s="248">
        <f t="shared" si="2"/>
        <v>82.927679335671755</v>
      </c>
      <c r="S21" s="248">
        <f t="shared" si="3"/>
        <v>144.79686066823064</v>
      </c>
      <c r="V21" s="250"/>
      <c r="W21" s="250"/>
    </row>
    <row r="22" spans="1:23" ht="15.75" thickBot="1" x14ac:dyDescent="0.3">
      <c r="A22" s="258">
        <v>21</v>
      </c>
      <c r="B22" s="261">
        <v>219</v>
      </c>
      <c r="C22" s="258" t="str">
        <f t="shared" si="9"/>
        <v>Fern</v>
      </c>
      <c r="D22" s="258">
        <f t="shared" si="10"/>
        <v>2000</v>
      </c>
      <c r="G22">
        <v>107</v>
      </c>
      <c r="H22" s="269" t="s">
        <v>215</v>
      </c>
      <c r="I22" s="246"/>
      <c r="J22" s="272" t="s">
        <v>267</v>
      </c>
      <c r="K22" s="272"/>
      <c r="L22" s="244">
        <f t="shared" si="0"/>
        <v>226</v>
      </c>
      <c r="M22" s="244">
        <f t="shared" si="1"/>
        <v>88</v>
      </c>
      <c r="N22" s="244">
        <f t="shared" si="6"/>
        <v>127</v>
      </c>
      <c r="O22" s="272" t="s">
        <v>268</v>
      </c>
      <c r="P22" s="269" t="s">
        <v>269</v>
      </c>
      <c r="Q22" s="269" t="s">
        <v>4</v>
      </c>
      <c r="R22" s="248">
        <f t="shared" si="2"/>
        <v>83.126409762481629</v>
      </c>
      <c r="S22" s="248">
        <f t="shared" si="3"/>
        <v>138.37795700318387</v>
      </c>
      <c r="V22" s="250"/>
      <c r="W22" s="250"/>
    </row>
    <row r="23" spans="1:23" ht="15.75" thickBot="1" x14ac:dyDescent="0.3">
      <c r="A23" s="258">
        <v>22</v>
      </c>
      <c r="B23" s="261">
        <v>10</v>
      </c>
      <c r="C23" s="258" t="str">
        <f t="shared" si="9"/>
        <v>Dark Green</v>
      </c>
      <c r="D23" s="258">
        <f t="shared" si="10"/>
        <v>700</v>
      </c>
      <c r="G23">
        <v>16</v>
      </c>
      <c r="H23" s="16" t="s">
        <v>37</v>
      </c>
      <c r="I23" s="247">
        <v>35</v>
      </c>
      <c r="J23" s="112" t="s">
        <v>38</v>
      </c>
      <c r="K23" s="112">
        <v>200</v>
      </c>
      <c r="L23" s="244">
        <f t="shared" si="0"/>
        <v>207</v>
      </c>
      <c r="M23" s="244">
        <f t="shared" si="1"/>
        <v>168</v>
      </c>
      <c r="N23" s="244">
        <f t="shared" si="6"/>
        <v>137</v>
      </c>
      <c r="O23" s="194">
        <v>207168137</v>
      </c>
      <c r="P23" s="16" t="s">
        <v>39</v>
      </c>
      <c r="Q23" s="16" t="s">
        <v>4</v>
      </c>
      <c r="R23" s="248">
        <f t="shared" si="2"/>
        <v>83.552378781217229</v>
      </c>
      <c r="S23" s="248">
        <f t="shared" si="3"/>
        <v>137.61574673706494</v>
      </c>
      <c r="V23" s="250"/>
      <c r="W23" s="250"/>
    </row>
    <row r="24" spans="1:23" ht="15.75" thickBot="1" x14ac:dyDescent="0.3">
      <c r="A24" s="258">
        <v>23</v>
      </c>
      <c r="B24" s="261">
        <v>179</v>
      </c>
      <c r="C24" s="258" t="str">
        <f t="shared" si="9"/>
        <v>Evergreen</v>
      </c>
      <c r="D24" s="258">
        <f t="shared" si="10"/>
        <v>3000</v>
      </c>
      <c r="G24">
        <v>128</v>
      </c>
      <c r="H24" s="255"/>
      <c r="I24" s="249">
        <v>210</v>
      </c>
      <c r="J24" s="239" t="s">
        <v>313</v>
      </c>
      <c r="K24" s="239">
        <v>1000</v>
      </c>
      <c r="L24" s="244">
        <f t="shared" si="0"/>
        <v>181</v>
      </c>
      <c r="M24" s="244">
        <f t="shared" si="1"/>
        <v>108</v>
      </c>
      <c r="N24" s="244">
        <f t="shared" si="6"/>
        <v>153</v>
      </c>
      <c r="O24" s="239" t="s">
        <v>314</v>
      </c>
      <c r="P24" s="239" t="s">
        <v>315</v>
      </c>
      <c r="Q24" s="239" t="s">
        <v>4</v>
      </c>
      <c r="R24" s="248">
        <f t="shared" si="2"/>
        <v>86.122006479180456</v>
      </c>
      <c r="S24" s="248">
        <f t="shared" si="3"/>
        <v>132.64850168773108</v>
      </c>
      <c r="V24" s="250"/>
      <c r="W24" s="250"/>
    </row>
    <row r="25" spans="1:23" ht="15.75" thickBot="1" x14ac:dyDescent="0.3">
      <c r="A25" s="258">
        <v>24</v>
      </c>
      <c r="B25" s="261">
        <v>201</v>
      </c>
      <c r="C25" s="258" t="str">
        <f t="shared" si="9"/>
        <v>Midnight</v>
      </c>
      <c r="D25" s="258">
        <f t="shared" si="10"/>
        <v>3000</v>
      </c>
      <c r="G25">
        <v>23</v>
      </c>
      <c r="H25" s="22" t="s">
        <v>52</v>
      </c>
      <c r="I25" s="247">
        <v>12</v>
      </c>
      <c r="J25" s="116" t="s">
        <v>53</v>
      </c>
      <c r="K25" s="116">
        <v>500</v>
      </c>
      <c r="L25" s="244">
        <f t="shared" si="0"/>
        <v>108</v>
      </c>
      <c r="M25" s="244">
        <f t="shared" si="1"/>
        <v>82</v>
      </c>
      <c r="N25" s="244">
        <f t="shared" si="6"/>
        <v>77</v>
      </c>
      <c r="O25" s="116" t="s">
        <v>54</v>
      </c>
      <c r="P25" s="22" t="s">
        <v>55</v>
      </c>
      <c r="Q25" s="22" t="s">
        <v>4</v>
      </c>
      <c r="R25" s="248">
        <f t="shared" si="2"/>
        <v>86.127812000537901</v>
      </c>
      <c r="S25" s="248">
        <f t="shared" si="3"/>
        <v>148.0594330096026</v>
      </c>
      <c r="V25" s="250"/>
      <c r="W25" s="250"/>
    </row>
    <row r="26" spans="1:23" ht="15.75" thickBot="1" x14ac:dyDescent="0.3">
      <c r="A26" s="258">
        <v>25</v>
      </c>
      <c r="B26" s="261">
        <v>8</v>
      </c>
      <c r="C26" s="258" t="str">
        <f t="shared" si="9"/>
        <v>Dark Blue</v>
      </c>
      <c r="D26" s="258">
        <f t="shared" si="10"/>
        <v>4000</v>
      </c>
      <c r="G26">
        <v>85</v>
      </c>
      <c r="H26" s="71" t="s">
        <v>218</v>
      </c>
      <c r="I26" s="247">
        <v>105</v>
      </c>
      <c r="J26" s="163" t="s">
        <v>219</v>
      </c>
      <c r="K26" s="163">
        <v>600</v>
      </c>
      <c r="L26" s="244">
        <f t="shared" si="0"/>
        <v>119</v>
      </c>
      <c r="M26" s="244">
        <f t="shared" si="1"/>
        <v>123</v>
      </c>
      <c r="N26" s="244">
        <f t="shared" si="6"/>
        <v>129</v>
      </c>
      <c r="O26" s="213">
        <v>129137142</v>
      </c>
      <c r="P26" s="71" t="s">
        <v>220</v>
      </c>
      <c r="Q26" s="71" t="s">
        <v>4</v>
      </c>
      <c r="R26" s="248">
        <f t="shared" si="2"/>
        <v>86.371291526756735</v>
      </c>
      <c r="S26" s="248">
        <f t="shared" si="3"/>
        <v>136.67811181751085</v>
      </c>
      <c r="V26" s="250"/>
      <c r="W26" s="250"/>
    </row>
    <row r="27" spans="1:23" ht="15.75" thickBot="1" x14ac:dyDescent="0.3">
      <c r="A27" s="258">
        <v>26</v>
      </c>
      <c r="B27" s="261">
        <v>200</v>
      </c>
      <c r="C27" s="258" t="str">
        <f t="shared" si="9"/>
        <v>Cobalt</v>
      </c>
      <c r="D27" s="258">
        <f t="shared" si="10"/>
        <v>2000</v>
      </c>
      <c r="G27">
        <v>93</v>
      </c>
      <c r="H27" s="78" t="s">
        <v>240</v>
      </c>
      <c r="I27" s="247">
        <v>103</v>
      </c>
      <c r="J27" s="170" t="s">
        <v>241</v>
      </c>
      <c r="K27" s="170">
        <v>0</v>
      </c>
      <c r="L27" s="244">
        <f t="shared" si="0"/>
        <v>209</v>
      </c>
      <c r="M27" s="244">
        <f t="shared" si="1"/>
        <v>198</v>
      </c>
      <c r="N27" s="244">
        <f t="shared" si="6"/>
        <v>110</v>
      </c>
      <c r="O27" s="216">
        <v>209198110</v>
      </c>
      <c r="P27" s="78" t="s">
        <v>242</v>
      </c>
      <c r="Q27" s="78" t="s">
        <v>4</v>
      </c>
      <c r="R27" s="248">
        <f t="shared" si="2"/>
        <v>86.637174469161906</v>
      </c>
      <c r="S27" s="248">
        <f t="shared" si="3"/>
        <v>161.5090457992988</v>
      </c>
      <c r="V27" s="250"/>
      <c r="W27" s="250"/>
    </row>
    <row r="28" spans="1:23" ht="15.75" thickBot="1" x14ac:dyDescent="0.3">
      <c r="A28" s="258">
        <v>27</v>
      </c>
      <c r="B28" s="261">
        <v>9</v>
      </c>
      <c r="C28" s="258" t="str">
        <f t="shared" si="9"/>
        <v>Light Blue</v>
      </c>
      <c r="D28" s="258">
        <f t="shared" si="10"/>
        <v>5000</v>
      </c>
      <c r="G28">
        <v>15</v>
      </c>
      <c r="H28" s="15" t="s">
        <v>34</v>
      </c>
      <c r="I28" s="247">
        <v>205</v>
      </c>
      <c r="J28" s="111" t="s">
        <v>35</v>
      </c>
      <c r="K28" s="111">
        <v>300</v>
      </c>
      <c r="L28" s="244">
        <f t="shared" si="0"/>
        <v>215</v>
      </c>
      <c r="M28" s="244">
        <f t="shared" si="1"/>
        <v>176</v>
      </c>
      <c r="N28" s="244">
        <f t="shared" si="6"/>
        <v>135</v>
      </c>
      <c r="O28" s="193">
        <v>215176135</v>
      </c>
      <c r="P28" s="15" t="s">
        <v>36</v>
      </c>
      <c r="Q28" s="15" t="s">
        <v>4</v>
      </c>
      <c r="R28" s="248">
        <f t="shared" si="2"/>
        <v>88.955044826024348</v>
      </c>
      <c r="S28" s="248">
        <f t="shared" si="3"/>
        <v>149.97327886993736</v>
      </c>
      <c r="V28" s="250"/>
      <c r="W28" s="250"/>
    </row>
    <row r="29" spans="1:23" ht="15.75" thickBot="1" x14ac:dyDescent="0.3">
      <c r="A29" s="258">
        <v>28</v>
      </c>
      <c r="B29" s="261">
        <v>52</v>
      </c>
      <c r="C29" s="258" t="str">
        <f t="shared" si="9"/>
        <v>Pastel Blue</v>
      </c>
      <c r="D29" s="258">
        <f t="shared" si="10"/>
        <v>2000</v>
      </c>
      <c r="G29">
        <v>127</v>
      </c>
      <c r="H29" s="255"/>
      <c r="I29" s="249">
        <v>406</v>
      </c>
      <c r="J29" s="238" t="s">
        <v>310</v>
      </c>
      <c r="K29" s="238">
        <v>0</v>
      </c>
      <c r="L29" s="244">
        <f t="shared" si="0"/>
        <v>255</v>
      </c>
      <c r="M29" s="244">
        <f t="shared" si="1"/>
        <v>169</v>
      </c>
      <c r="N29" s="244">
        <f t="shared" si="6"/>
        <v>103</v>
      </c>
      <c r="O29" s="238" t="s">
        <v>311</v>
      </c>
      <c r="P29" s="238" t="s">
        <v>312</v>
      </c>
      <c r="Q29" s="238" t="s">
        <v>4</v>
      </c>
      <c r="R29" s="248">
        <f t="shared" si="2"/>
        <v>91.629689511642454</v>
      </c>
      <c r="S29" s="248">
        <f t="shared" si="3"/>
        <v>158.58825421512148</v>
      </c>
      <c r="V29" s="250"/>
      <c r="W29" s="250"/>
    </row>
    <row r="30" spans="1:23" ht="15.75" thickBot="1" x14ac:dyDescent="0.3">
      <c r="A30" s="258">
        <v>29</v>
      </c>
      <c r="B30" s="261">
        <v>11</v>
      </c>
      <c r="C30" s="258" t="str">
        <f t="shared" si="9"/>
        <v>Light Green</v>
      </c>
      <c r="D30" s="258">
        <f t="shared" si="10"/>
        <v>1200</v>
      </c>
      <c r="G30">
        <v>76</v>
      </c>
      <c r="H30" s="63" t="s">
        <v>191</v>
      </c>
      <c r="I30" s="247">
        <v>97</v>
      </c>
      <c r="J30" s="156" t="s">
        <v>192</v>
      </c>
      <c r="K30" s="156">
        <v>1000</v>
      </c>
      <c r="L30" s="244">
        <f t="shared" si="0"/>
        <v>203</v>
      </c>
      <c r="M30" s="244">
        <f t="shared" si="1"/>
        <v>215</v>
      </c>
      <c r="N30" s="244">
        <f t="shared" si="6"/>
        <v>53</v>
      </c>
      <c r="O30" s="156" t="s">
        <v>193</v>
      </c>
      <c r="P30" s="63" t="s">
        <v>194</v>
      </c>
      <c r="Q30" s="63" t="s">
        <v>4</v>
      </c>
      <c r="R30" s="248">
        <f t="shared" si="2"/>
        <v>92.108631517355633</v>
      </c>
      <c r="S30" s="248">
        <f t="shared" si="3"/>
        <v>181.33394607739612</v>
      </c>
      <c r="V30" s="250"/>
      <c r="W30" s="250"/>
    </row>
    <row r="31" spans="1:23" ht="15.75" thickBot="1" x14ac:dyDescent="0.3">
      <c r="A31" s="258">
        <v>30</v>
      </c>
      <c r="B31" s="261">
        <v>202</v>
      </c>
      <c r="C31" s="258" t="str">
        <f t="shared" si="9"/>
        <v>Robin's Egg</v>
      </c>
      <c r="D31" s="258">
        <f t="shared" si="10"/>
        <v>2800</v>
      </c>
      <c r="G31">
        <v>29</v>
      </c>
      <c r="H31" s="26" t="s">
        <v>66</v>
      </c>
      <c r="I31" s="247">
        <v>57</v>
      </c>
      <c r="J31" s="120" t="s">
        <v>67</v>
      </c>
      <c r="K31" s="120">
        <v>1000</v>
      </c>
      <c r="L31" s="244">
        <f t="shared" si="0"/>
        <v>255</v>
      </c>
      <c r="M31" s="244">
        <f t="shared" si="1"/>
        <v>182</v>
      </c>
      <c r="N31" s="244">
        <f t="shared" si="6"/>
        <v>78</v>
      </c>
      <c r="O31" s="120" t="s">
        <v>68</v>
      </c>
      <c r="P31" s="26" t="s">
        <v>69</v>
      </c>
      <c r="Q31" s="26" t="s">
        <v>4</v>
      </c>
      <c r="R31" s="248">
        <f t="shared" si="2"/>
        <v>92.639084624147713</v>
      </c>
      <c r="S31" s="248">
        <f t="shared" si="3"/>
        <v>166.99959066192349</v>
      </c>
      <c r="V31" s="250"/>
      <c r="W31" s="250"/>
    </row>
    <row r="32" spans="1:23" ht="15.75" thickBot="1" x14ac:dyDescent="0.3">
      <c r="A32" s="258">
        <v>31</v>
      </c>
      <c r="B32" s="261">
        <v>82</v>
      </c>
      <c r="C32" s="258" t="str">
        <f t="shared" si="9"/>
        <v>Light Lavender</v>
      </c>
      <c r="D32" s="258">
        <f t="shared" si="10"/>
        <v>1000</v>
      </c>
      <c r="G32">
        <v>35</v>
      </c>
      <c r="H32" s="30" t="s">
        <v>82</v>
      </c>
      <c r="I32" s="247">
        <v>203</v>
      </c>
      <c r="J32" s="124" t="s">
        <v>83</v>
      </c>
      <c r="K32" s="124">
        <v>1000</v>
      </c>
      <c r="L32" s="244">
        <f t="shared" si="0"/>
        <v>255</v>
      </c>
      <c r="M32" s="244">
        <f t="shared" si="1"/>
        <v>119</v>
      </c>
      <c r="N32" s="244">
        <f t="shared" si="6"/>
        <v>127</v>
      </c>
      <c r="O32" s="197">
        <v>255119127</v>
      </c>
      <c r="P32" s="30" t="s">
        <v>84</v>
      </c>
      <c r="Q32" s="30" t="s">
        <v>4</v>
      </c>
      <c r="R32" s="248">
        <f t="shared" si="2"/>
        <v>94.361008896683586</v>
      </c>
      <c r="S32" s="248">
        <f t="shared" si="3"/>
        <v>151.93866978159312</v>
      </c>
      <c r="V32" s="250"/>
      <c r="W32" s="250"/>
    </row>
    <row r="33" spans="1:23" ht="15.75" thickBot="1" x14ac:dyDescent="0.3">
      <c r="A33" s="258">
        <v>32</v>
      </c>
      <c r="B33" s="258">
        <v>56</v>
      </c>
      <c r="C33" s="258" t="str">
        <f t="shared" si="9"/>
        <v>Pastel Yellow</v>
      </c>
      <c r="D33" s="258">
        <f t="shared" si="10"/>
        <v>500</v>
      </c>
      <c r="G33">
        <v>92</v>
      </c>
      <c r="H33" s="77" t="s">
        <v>237</v>
      </c>
      <c r="I33" s="247">
        <v>100</v>
      </c>
      <c r="J33" s="169" t="s">
        <v>238</v>
      </c>
      <c r="K33" s="169">
        <v>0</v>
      </c>
      <c r="L33" s="244">
        <f t="shared" si="0"/>
        <v>233</v>
      </c>
      <c r="M33" s="244">
        <f t="shared" si="1"/>
        <v>149</v>
      </c>
      <c r="N33" s="244">
        <f t="shared" si="6"/>
        <v>145</v>
      </c>
      <c r="O33" s="215">
        <v>233149145</v>
      </c>
      <c r="P33" s="77" t="s">
        <v>239</v>
      </c>
      <c r="Q33" s="77" t="s">
        <v>4</v>
      </c>
      <c r="R33" s="248">
        <f t="shared" si="2"/>
        <v>94.678403028356996</v>
      </c>
      <c r="S33" s="248">
        <f t="shared" si="3"/>
        <v>148.8806149235017</v>
      </c>
      <c r="V33" s="250"/>
      <c r="W33" s="250"/>
    </row>
    <row r="34" spans="1:23" ht="15.75" thickBot="1" x14ac:dyDescent="0.3">
      <c r="A34" s="258">
        <v>33</v>
      </c>
      <c r="B34" s="258">
        <v>98</v>
      </c>
      <c r="C34" s="258" t="str">
        <f t="shared" si="9"/>
        <v>Sand</v>
      </c>
      <c r="D34" s="258">
        <f t="shared" si="10"/>
        <v>300</v>
      </c>
      <c r="G34">
        <v>7</v>
      </c>
      <c r="H34" s="7" t="s">
        <v>17</v>
      </c>
      <c r="I34" s="247">
        <v>207</v>
      </c>
      <c r="J34" s="105" t="s">
        <v>18</v>
      </c>
      <c r="K34" s="105">
        <v>2500</v>
      </c>
      <c r="L34" s="244">
        <v>95</v>
      </c>
      <c r="M34" s="244">
        <f t="shared" si="1"/>
        <v>95</v>
      </c>
      <c r="N34" s="244">
        <f t="shared" si="6"/>
        <v>95</v>
      </c>
      <c r="O34" s="105" t="s">
        <v>19</v>
      </c>
      <c r="P34" s="8" t="s">
        <v>20</v>
      </c>
      <c r="Q34" s="7" t="s">
        <v>4</v>
      </c>
      <c r="R34" s="248">
        <f t="shared" si="2"/>
        <v>95.372952140530913</v>
      </c>
      <c r="S34" s="248">
        <f t="shared" si="3"/>
        <v>156.63926511255087</v>
      </c>
      <c r="V34" s="250"/>
      <c r="W34" s="250"/>
    </row>
    <row r="35" spans="1:23" ht="15.75" thickBot="1" x14ac:dyDescent="0.3">
      <c r="A35" s="258">
        <v>34</v>
      </c>
      <c r="B35" s="258">
        <v>83</v>
      </c>
      <c r="C35" s="258" t="str">
        <f t="shared" si="9"/>
        <v>Pink</v>
      </c>
      <c r="D35" s="258">
        <f t="shared" si="10"/>
        <v>900</v>
      </c>
      <c r="G35">
        <v>4</v>
      </c>
      <c r="H35" s="5" t="s">
        <v>9</v>
      </c>
      <c r="I35" s="247">
        <v>17</v>
      </c>
      <c r="J35" s="103" t="s">
        <v>10</v>
      </c>
      <c r="K35" s="103">
        <v>1000</v>
      </c>
      <c r="L35" s="244">
        <f t="shared" ref="L35:L48" si="11">HEX2DEC(LEFT(P35,2))</f>
        <v>150</v>
      </c>
      <c r="M35" s="244">
        <f t="shared" si="1"/>
        <v>152</v>
      </c>
      <c r="N35" s="244">
        <f t="shared" si="6"/>
        <v>156</v>
      </c>
      <c r="O35" s="103" t="s">
        <v>11</v>
      </c>
      <c r="P35" s="5" t="s">
        <v>12</v>
      </c>
      <c r="Q35" s="5" t="s">
        <v>4</v>
      </c>
      <c r="R35" s="248">
        <f t="shared" ref="R35:R66" si="12">SQRT(($U$2-L35)^2+($V$2-M35)^2+($W$2-N35)^2)</f>
        <v>95.681764197782229</v>
      </c>
      <c r="S35" s="248">
        <f t="shared" ref="S35:S66" si="13">SQRT((2+(($U$2+L35)/2)/256)*($U$2-L35)^2 + 4*($V$2-M35)^2 + (2+(255-(($U$2+L35)/2))/256)*($W$2-N35)^2)</f>
        <v>151.08760651936345</v>
      </c>
      <c r="V35" s="250"/>
      <c r="W35" s="250"/>
    </row>
    <row r="36" spans="1:23" ht="15.75" thickBot="1" x14ac:dyDescent="0.3">
      <c r="A36" s="258">
        <v>35</v>
      </c>
      <c r="B36" s="258">
        <v>38</v>
      </c>
      <c r="C36" s="258" t="str">
        <f t="shared" si="9"/>
        <v>Magenta</v>
      </c>
      <c r="D36" s="258">
        <f t="shared" si="10"/>
        <v>1200</v>
      </c>
      <c r="G36">
        <v>91</v>
      </c>
      <c r="H36" s="76" t="s">
        <v>234</v>
      </c>
      <c r="I36" s="247">
        <v>104</v>
      </c>
      <c r="J36" s="168" t="s">
        <v>235</v>
      </c>
      <c r="K36" s="168">
        <v>0</v>
      </c>
      <c r="L36" s="244">
        <f t="shared" si="11"/>
        <v>204</v>
      </c>
      <c r="M36" s="244">
        <f t="shared" si="1"/>
        <v>164</v>
      </c>
      <c r="N36" s="244">
        <f t="shared" si="6"/>
        <v>155</v>
      </c>
      <c r="O36" s="214">
        <v>204164155</v>
      </c>
      <c r="P36" s="76" t="s">
        <v>236</v>
      </c>
      <c r="Q36" s="76" t="s">
        <v>4</v>
      </c>
      <c r="R36" s="248">
        <f t="shared" si="12"/>
        <v>96.405394039960228</v>
      </c>
      <c r="S36" s="248">
        <f t="shared" si="13"/>
        <v>153.39311348826908</v>
      </c>
      <c r="V36" s="250"/>
      <c r="W36" s="250"/>
    </row>
    <row r="37" spans="1:23" ht="15.75" thickBot="1" x14ac:dyDescent="0.3">
      <c r="A37" s="258">
        <v>36</v>
      </c>
      <c r="B37" s="258"/>
      <c r="C37" s="258" t="str">
        <f t="shared" si="9"/>
        <v/>
      </c>
      <c r="D37" s="258" t="str">
        <f t="shared" si="10"/>
        <v/>
      </c>
      <c r="G37">
        <v>43</v>
      </c>
      <c r="H37" s="37" t="s">
        <v>104</v>
      </c>
      <c r="I37" s="247">
        <v>38</v>
      </c>
      <c r="J37" s="131" t="s">
        <v>105</v>
      </c>
      <c r="K37" s="131">
        <v>1200</v>
      </c>
      <c r="L37" s="244">
        <f t="shared" si="11"/>
        <v>243</v>
      </c>
      <c r="M37" s="244">
        <f t="shared" si="1"/>
        <v>70</v>
      </c>
      <c r="N37" s="244">
        <f t="shared" si="6"/>
        <v>118</v>
      </c>
      <c r="O37" s="131" t="s">
        <v>106</v>
      </c>
      <c r="P37" s="37" t="s">
        <v>107</v>
      </c>
      <c r="Q37" s="37" t="s">
        <v>4</v>
      </c>
      <c r="R37" s="248">
        <f t="shared" si="12"/>
        <v>97.437159236094317</v>
      </c>
      <c r="S37" s="248">
        <f t="shared" si="13"/>
        <v>170.50690739307308</v>
      </c>
      <c r="V37" s="250"/>
      <c r="W37" s="250"/>
    </row>
    <row r="38" spans="1:23" ht="15.75" thickBot="1" x14ac:dyDescent="0.3">
      <c r="A38" s="258">
        <v>37</v>
      </c>
      <c r="B38" s="258"/>
      <c r="C38" s="258" t="str">
        <f t="shared" si="9"/>
        <v/>
      </c>
      <c r="D38" s="258" t="str">
        <f t="shared" si="10"/>
        <v/>
      </c>
      <c r="G38">
        <v>41</v>
      </c>
      <c r="H38" s="35" t="s">
        <v>97</v>
      </c>
      <c r="I38" s="247">
        <v>6</v>
      </c>
      <c r="J38" s="129" t="s">
        <v>98</v>
      </c>
      <c r="K38" s="129">
        <v>800</v>
      </c>
      <c r="L38" s="244">
        <f t="shared" si="11"/>
        <v>225</v>
      </c>
      <c r="M38" s="244">
        <f t="shared" si="1"/>
        <v>109</v>
      </c>
      <c r="N38" s="244">
        <f t="shared" si="6"/>
        <v>157</v>
      </c>
      <c r="O38" s="202">
        <v>225109157</v>
      </c>
      <c r="P38" s="35" t="s">
        <v>99</v>
      </c>
      <c r="Q38" s="35" t="s">
        <v>4</v>
      </c>
      <c r="R38" s="248">
        <f t="shared" si="12"/>
        <v>100.01999800039989</v>
      </c>
      <c r="S38" s="248">
        <f t="shared" si="13"/>
        <v>154.15637353025662</v>
      </c>
      <c r="V38" s="250"/>
      <c r="W38" s="250"/>
    </row>
    <row r="39" spans="1:23" ht="15.75" thickBot="1" x14ac:dyDescent="0.3">
      <c r="A39" s="258">
        <v>38</v>
      </c>
      <c r="B39" s="258"/>
      <c r="C39" s="258" t="str">
        <f t="shared" si="9"/>
        <v/>
      </c>
      <c r="D39" s="258" t="str">
        <f t="shared" si="10"/>
        <v/>
      </c>
      <c r="G39">
        <v>109</v>
      </c>
      <c r="H39" s="91" t="s">
        <v>215</v>
      </c>
      <c r="I39" s="246"/>
      <c r="J39" s="182" t="s">
        <v>272</v>
      </c>
      <c r="K39" s="182"/>
      <c r="L39" s="244">
        <f t="shared" si="11"/>
        <v>85</v>
      </c>
      <c r="M39" s="244">
        <f t="shared" si="1"/>
        <v>158</v>
      </c>
      <c r="N39" s="244">
        <f t="shared" si="6"/>
        <v>69</v>
      </c>
      <c r="O39" s="182" t="s">
        <v>273</v>
      </c>
      <c r="P39" s="245" t="s">
        <v>326</v>
      </c>
      <c r="Q39" s="91" t="s">
        <v>4</v>
      </c>
      <c r="R39" s="248">
        <f t="shared" si="12"/>
        <v>100.88111815399351</v>
      </c>
      <c r="S39" s="248">
        <f t="shared" si="13"/>
        <v>164.51139778143033</v>
      </c>
      <c r="V39" s="250"/>
      <c r="W39" s="250"/>
    </row>
    <row r="40" spans="1:23" ht="15.75" thickBot="1" x14ac:dyDescent="0.3">
      <c r="A40" s="258">
        <v>39</v>
      </c>
      <c r="B40" s="258"/>
      <c r="C40" s="258" t="str">
        <f t="shared" si="9"/>
        <v/>
      </c>
      <c r="D40" s="258" t="str">
        <f t="shared" si="10"/>
        <v/>
      </c>
      <c r="G40">
        <v>42</v>
      </c>
      <c r="H40" s="36" t="s">
        <v>100</v>
      </c>
      <c r="I40" s="247">
        <v>83</v>
      </c>
      <c r="J40" s="130" t="s">
        <v>101</v>
      </c>
      <c r="K40" s="130">
        <v>900</v>
      </c>
      <c r="L40" s="244">
        <f t="shared" si="11"/>
        <v>230</v>
      </c>
      <c r="M40" s="244">
        <f t="shared" si="1"/>
        <v>87</v>
      </c>
      <c r="N40" s="244">
        <f t="shared" si="6"/>
        <v>148</v>
      </c>
      <c r="O40" s="130" t="s">
        <v>102</v>
      </c>
      <c r="P40" s="36" t="s">
        <v>103</v>
      </c>
      <c r="Q40" s="36" t="s">
        <v>4</v>
      </c>
      <c r="R40" s="248">
        <f t="shared" si="12"/>
        <v>101.20276676059801</v>
      </c>
      <c r="S40" s="248">
        <f t="shared" si="13"/>
        <v>163.76239218376728</v>
      </c>
      <c r="V40" s="250"/>
      <c r="W40" s="250"/>
    </row>
    <row r="41" spans="1:23" ht="15.75" thickBot="1" x14ac:dyDescent="0.3">
      <c r="A41" s="259">
        <v>40</v>
      </c>
      <c r="B41" s="258"/>
      <c r="C41" s="258"/>
      <c r="D41" s="258"/>
      <c r="G41">
        <v>81</v>
      </c>
      <c r="H41" s="68" t="s">
        <v>207</v>
      </c>
      <c r="I41" s="247">
        <v>50</v>
      </c>
      <c r="J41" s="160" t="s">
        <v>208</v>
      </c>
      <c r="K41" s="160">
        <v>0</v>
      </c>
      <c r="L41" s="244">
        <f t="shared" si="11"/>
        <v>241</v>
      </c>
      <c r="M41" s="244">
        <f t="shared" si="1"/>
        <v>82</v>
      </c>
      <c r="N41" s="244">
        <f t="shared" si="6"/>
        <v>137</v>
      </c>
      <c r="O41" s="160" t="s">
        <v>209</v>
      </c>
      <c r="P41" s="68" t="s">
        <v>210</v>
      </c>
      <c r="Q41" s="68" t="s">
        <v>4</v>
      </c>
      <c r="R41" s="248">
        <f t="shared" si="12"/>
        <v>101.23734488813898</v>
      </c>
      <c r="S41" s="248">
        <f t="shared" si="13"/>
        <v>168.25557197311477</v>
      </c>
      <c r="V41" s="250"/>
      <c r="W41" s="250"/>
    </row>
    <row r="42" spans="1:23" ht="15.75" thickBot="1" x14ac:dyDescent="0.3">
      <c r="A42" s="260">
        <v>41</v>
      </c>
      <c r="B42" s="259"/>
      <c r="C42" s="258" t="str">
        <f t="shared" ref="C42" si="14">IF(B42&gt;0,VLOOKUP(B42,$I$3:$K$133,2,FALSE),"")</f>
        <v/>
      </c>
      <c r="D42" s="258" t="str">
        <f t="shared" ref="D42" si="15">IF(B42&gt;0,VLOOKUP(B42,$I$3:$K$133,3,FALSE),"")</f>
        <v/>
      </c>
      <c r="G42">
        <v>5</v>
      </c>
      <c r="H42" s="6" t="s">
        <v>13</v>
      </c>
      <c r="I42" s="247">
        <v>206</v>
      </c>
      <c r="J42" s="104" t="s">
        <v>14</v>
      </c>
      <c r="K42" s="104">
        <v>400</v>
      </c>
      <c r="L42" s="244">
        <f t="shared" si="11"/>
        <v>147</v>
      </c>
      <c r="M42" s="244">
        <f t="shared" si="1"/>
        <v>161</v>
      </c>
      <c r="N42" s="244">
        <f t="shared" si="6"/>
        <v>159</v>
      </c>
      <c r="O42" s="104" t="s">
        <v>15</v>
      </c>
      <c r="P42" s="6" t="s">
        <v>16</v>
      </c>
      <c r="Q42" s="6" t="s">
        <v>4</v>
      </c>
      <c r="R42" s="248">
        <f t="shared" si="12"/>
        <v>102.03920815059278</v>
      </c>
      <c r="S42" s="248">
        <f t="shared" si="13"/>
        <v>163.57218398921009</v>
      </c>
      <c r="V42" s="250"/>
      <c r="W42" s="250"/>
    </row>
    <row r="43" spans="1:23" ht="15.75" thickBot="1" x14ac:dyDescent="0.3">
      <c r="A43" s="260">
        <v>42</v>
      </c>
      <c r="B43" s="260"/>
      <c r="C43" s="260"/>
      <c r="D43" s="260"/>
      <c r="G43">
        <v>108</v>
      </c>
      <c r="H43" s="90" t="s">
        <v>215</v>
      </c>
      <c r="I43" s="246"/>
      <c r="J43" s="181" t="s">
        <v>270</v>
      </c>
      <c r="K43" s="181"/>
      <c r="L43" s="244">
        <f t="shared" si="11"/>
        <v>155</v>
      </c>
      <c r="M43" s="244">
        <f t="shared" si="1"/>
        <v>175</v>
      </c>
      <c r="N43" s="244">
        <f t="shared" si="6"/>
        <v>158</v>
      </c>
      <c r="O43" s="223">
        <v>155175158</v>
      </c>
      <c r="P43" s="90" t="s">
        <v>271</v>
      </c>
      <c r="Q43" s="90" t="s">
        <v>4</v>
      </c>
      <c r="R43" s="248">
        <f t="shared" si="12"/>
        <v>104.40785411069419</v>
      </c>
      <c r="S43" s="248">
        <f t="shared" si="13"/>
        <v>171.8881244989019</v>
      </c>
      <c r="V43" s="250"/>
      <c r="W43" s="250"/>
    </row>
    <row r="44" spans="1:23" ht="15.75" thickBot="1" x14ac:dyDescent="0.3">
      <c r="A44" s="260">
        <v>43</v>
      </c>
      <c r="B44" s="260"/>
      <c r="C44" s="260"/>
      <c r="D44" s="260"/>
      <c r="G44">
        <v>94</v>
      </c>
      <c r="H44" s="79" t="s">
        <v>243</v>
      </c>
      <c r="I44" s="247">
        <v>102</v>
      </c>
      <c r="J44" s="171" t="s">
        <v>244</v>
      </c>
      <c r="K44" s="171">
        <v>900</v>
      </c>
      <c r="L44" s="244">
        <f t="shared" si="11"/>
        <v>132</v>
      </c>
      <c r="M44" s="244">
        <f t="shared" si="1"/>
        <v>176</v>
      </c>
      <c r="N44" s="244">
        <f t="shared" si="6"/>
        <v>149</v>
      </c>
      <c r="O44" s="217">
        <v>132176149</v>
      </c>
      <c r="P44" s="80" t="s">
        <v>245</v>
      </c>
      <c r="Q44" s="80" t="s">
        <v>4</v>
      </c>
      <c r="R44" s="248">
        <f t="shared" si="12"/>
        <v>105.83950113261116</v>
      </c>
      <c r="S44" s="248">
        <f t="shared" si="13"/>
        <v>176.45480675834534</v>
      </c>
      <c r="V44" s="250"/>
      <c r="W44" s="250"/>
    </row>
    <row r="45" spans="1:23" ht="15.75" thickBot="1" x14ac:dyDescent="0.3">
      <c r="A45" s="260">
        <v>44</v>
      </c>
      <c r="B45" s="260"/>
      <c r="C45" s="260"/>
      <c r="D45" s="260"/>
      <c r="G45">
        <v>48</v>
      </c>
      <c r="H45" s="42" t="s">
        <v>120</v>
      </c>
      <c r="I45" s="247">
        <v>60</v>
      </c>
      <c r="J45" s="135" t="s">
        <v>121</v>
      </c>
      <c r="K45" s="135">
        <v>700</v>
      </c>
      <c r="L45" s="244">
        <f t="shared" si="11"/>
        <v>178</v>
      </c>
      <c r="M45" s="244">
        <f t="shared" si="1"/>
        <v>95</v>
      </c>
      <c r="N45" s="244">
        <f t="shared" si="6"/>
        <v>170</v>
      </c>
      <c r="O45" s="135" t="s">
        <v>122</v>
      </c>
      <c r="P45" s="42" t="s">
        <v>123</v>
      </c>
      <c r="Q45" s="42" t="s">
        <v>4</v>
      </c>
      <c r="R45" s="248">
        <f t="shared" si="12"/>
        <v>105.99056561788883</v>
      </c>
      <c r="S45" s="248">
        <f t="shared" si="13"/>
        <v>165.92410492074382</v>
      </c>
      <c r="V45" s="250"/>
      <c r="W45" s="250"/>
    </row>
    <row r="46" spans="1:23" ht="15.75" thickBot="1" x14ac:dyDescent="0.3">
      <c r="A46" s="260">
        <v>45</v>
      </c>
      <c r="B46" s="260"/>
      <c r="C46" s="260"/>
      <c r="D46" s="260"/>
      <c r="G46">
        <v>36</v>
      </c>
      <c r="H46" s="31" t="s">
        <v>85</v>
      </c>
      <c r="I46" s="247">
        <v>63</v>
      </c>
      <c r="J46" s="125" t="s">
        <v>86</v>
      </c>
      <c r="K46" s="125">
        <v>700</v>
      </c>
      <c r="L46" s="244">
        <f t="shared" si="11"/>
        <v>255</v>
      </c>
      <c r="M46" s="244">
        <f t="shared" si="1"/>
        <v>158</v>
      </c>
      <c r="N46" s="244">
        <f t="shared" si="6"/>
        <v>141</v>
      </c>
      <c r="O46" s="198">
        <v>255158141</v>
      </c>
      <c r="P46" s="31" t="s">
        <v>87</v>
      </c>
      <c r="Q46" s="31" t="s">
        <v>4</v>
      </c>
      <c r="R46" s="248">
        <f t="shared" si="12"/>
        <v>107.80074211247342</v>
      </c>
      <c r="S46" s="248">
        <f t="shared" si="13"/>
        <v>174.86110559526952</v>
      </c>
      <c r="V46" s="250"/>
      <c r="W46" s="250"/>
    </row>
    <row r="47" spans="1:23" ht="15.75" thickBot="1" x14ac:dyDescent="0.3">
      <c r="A47" s="260">
        <v>46</v>
      </c>
      <c r="B47" s="260"/>
      <c r="C47" s="260"/>
      <c r="D47" s="260"/>
      <c r="G47">
        <v>80</v>
      </c>
      <c r="H47" s="67" t="s">
        <v>203</v>
      </c>
      <c r="I47" s="247">
        <v>47</v>
      </c>
      <c r="J47" s="159" t="s">
        <v>204</v>
      </c>
      <c r="K47" s="159">
        <v>0</v>
      </c>
      <c r="L47" s="244">
        <f t="shared" si="11"/>
        <v>189</v>
      </c>
      <c r="M47" s="244">
        <f t="shared" si="1"/>
        <v>210</v>
      </c>
      <c r="N47" s="244">
        <f t="shared" si="6"/>
        <v>0</v>
      </c>
      <c r="O47" s="159" t="s">
        <v>205</v>
      </c>
      <c r="P47" s="67" t="s">
        <v>206</v>
      </c>
      <c r="Q47" s="67" t="s">
        <v>4</v>
      </c>
      <c r="R47" s="248">
        <f t="shared" si="12"/>
        <v>108.23123393919151</v>
      </c>
      <c r="S47" s="248">
        <f t="shared" si="13"/>
        <v>196.35194406345968</v>
      </c>
      <c r="V47" s="250"/>
      <c r="W47" s="250"/>
    </row>
    <row r="48" spans="1:23" ht="15.75" thickBot="1" x14ac:dyDescent="0.3">
      <c r="A48" s="260"/>
      <c r="B48" s="260"/>
      <c r="C48" s="260"/>
      <c r="D48" s="260"/>
      <c r="G48">
        <v>118</v>
      </c>
      <c r="H48" s="98" t="s">
        <v>215</v>
      </c>
      <c r="I48" s="246"/>
      <c r="J48" s="189" t="s">
        <v>288</v>
      </c>
      <c r="K48" s="189"/>
      <c r="L48" s="244">
        <f t="shared" si="11"/>
        <v>174</v>
      </c>
      <c r="M48" s="244">
        <f t="shared" si="1"/>
        <v>102</v>
      </c>
      <c r="N48" s="244">
        <f t="shared" si="6"/>
        <v>177</v>
      </c>
      <c r="O48" s="229">
        <v>174102177</v>
      </c>
      <c r="P48" s="98" t="s">
        <v>289</v>
      </c>
      <c r="Q48" s="98" t="s">
        <v>4</v>
      </c>
      <c r="R48" s="248">
        <f t="shared" si="12"/>
        <v>111.07655018049489</v>
      </c>
      <c r="S48" s="248">
        <f t="shared" si="13"/>
        <v>171.72963739370965</v>
      </c>
      <c r="V48" s="250"/>
      <c r="W48" s="250"/>
    </row>
    <row r="49" spans="1:23" ht="15.75" thickBot="1" x14ac:dyDescent="0.3">
      <c r="A49" s="260"/>
      <c r="B49" s="260"/>
      <c r="C49" s="260"/>
      <c r="D49" s="260"/>
      <c r="G49">
        <v>115</v>
      </c>
      <c r="H49" s="95" t="s">
        <v>281</v>
      </c>
      <c r="I49" s="246">
        <v>997</v>
      </c>
      <c r="J49" s="186" t="s">
        <v>282</v>
      </c>
      <c r="K49" s="186">
        <v>1000</v>
      </c>
      <c r="L49" s="244">
        <v>175</v>
      </c>
      <c r="M49" s="244">
        <v>195</v>
      </c>
      <c r="N49" s="244">
        <v>157</v>
      </c>
      <c r="O49" s="226">
        <v>175195157</v>
      </c>
      <c r="P49" s="95" t="s">
        <v>283</v>
      </c>
      <c r="Q49" s="95" t="s">
        <v>4</v>
      </c>
      <c r="R49" s="248">
        <f t="shared" si="12"/>
        <v>111.37324633860683</v>
      </c>
      <c r="S49" s="248">
        <f t="shared" si="13"/>
        <v>190.81478257724163</v>
      </c>
      <c r="V49" s="250"/>
      <c r="W49" s="250"/>
    </row>
    <row r="50" spans="1:23" ht="15.75" thickBot="1" x14ac:dyDescent="0.3">
      <c r="A50" s="260"/>
      <c r="B50" s="260"/>
      <c r="C50" s="260"/>
      <c r="D50" s="260"/>
      <c r="G50">
        <v>8</v>
      </c>
      <c r="H50" s="9" t="s">
        <v>21</v>
      </c>
      <c r="I50" s="247">
        <v>92</v>
      </c>
      <c r="J50" s="106" t="s">
        <v>22</v>
      </c>
      <c r="K50" s="106">
        <v>4000</v>
      </c>
      <c r="L50" s="244">
        <v>80</v>
      </c>
      <c r="M50" s="244">
        <v>80</v>
      </c>
      <c r="N50" s="244">
        <v>80</v>
      </c>
      <c r="O50" s="106" t="s">
        <v>23</v>
      </c>
      <c r="P50" s="10" t="s">
        <v>24</v>
      </c>
      <c r="Q50" s="9" t="s">
        <v>4</v>
      </c>
      <c r="R50" s="248">
        <f t="shared" si="12"/>
        <v>111.94194924156002</v>
      </c>
      <c r="S50" s="248">
        <f t="shared" si="13"/>
        <v>186.38391787852834</v>
      </c>
      <c r="V50" s="250"/>
      <c r="W50" s="250"/>
    </row>
    <row r="51" spans="1:23" ht="15.75" thickBot="1" x14ac:dyDescent="0.3">
      <c r="A51" s="260"/>
      <c r="B51" s="260"/>
      <c r="C51" s="260"/>
      <c r="D51" s="260"/>
      <c r="G51">
        <v>28</v>
      </c>
      <c r="H51" s="25" t="s">
        <v>62</v>
      </c>
      <c r="I51" s="247">
        <v>3</v>
      </c>
      <c r="J51" s="119" t="s">
        <v>63</v>
      </c>
      <c r="K51" s="119">
        <v>3000</v>
      </c>
      <c r="L51" s="244">
        <f>HEX2DEC(LEFT(P51,2))</f>
        <v>249</v>
      </c>
      <c r="M51" s="244">
        <f>HEX2DEC(MID(P51,3,2))</f>
        <v>215</v>
      </c>
      <c r="N51" s="244">
        <f t="shared" ref="N51:N62" si="16">HEX2DEC(RIGHT(P51,2))</f>
        <v>55</v>
      </c>
      <c r="O51" s="119" t="s">
        <v>64</v>
      </c>
      <c r="P51" s="25" t="s">
        <v>65</v>
      </c>
      <c r="Q51" s="25" t="s">
        <v>4</v>
      </c>
      <c r="R51" s="248">
        <f t="shared" si="12"/>
        <v>112.08925015361643</v>
      </c>
      <c r="S51" s="248">
        <f t="shared" si="13"/>
        <v>211.02147402574934</v>
      </c>
      <c r="V51" s="250"/>
      <c r="W51" s="250"/>
    </row>
    <row r="52" spans="1:23" ht="15.75" thickBot="1" x14ac:dyDescent="0.3">
      <c r="A52" s="260"/>
      <c r="B52" s="260"/>
      <c r="C52" s="260"/>
      <c r="D52" s="260"/>
      <c r="G52">
        <v>71</v>
      </c>
      <c r="H52" s="59" t="s">
        <v>177</v>
      </c>
      <c r="I52" s="247">
        <v>61</v>
      </c>
      <c r="J52" s="152" t="s">
        <v>178</v>
      </c>
      <c r="K52" s="152">
        <v>600</v>
      </c>
      <c r="L52" s="244">
        <v>110</v>
      </c>
      <c r="M52" s="244">
        <v>215</v>
      </c>
      <c r="N52" s="244">
        <f t="shared" si="16"/>
        <v>74</v>
      </c>
      <c r="O52" s="152" t="s">
        <v>179</v>
      </c>
      <c r="P52" s="59" t="s">
        <v>180</v>
      </c>
      <c r="Q52" s="59" t="s">
        <v>4</v>
      </c>
      <c r="R52" s="248">
        <f t="shared" si="12"/>
        <v>113.18127053536729</v>
      </c>
      <c r="S52" s="248">
        <f t="shared" si="13"/>
        <v>209.72313408098307</v>
      </c>
      <c r="V52" s="250"/>
      <c r="W52" s="250"/>
    </row>
    <row r="53" spans="1:23" ht="15.75" thickBot="1" x14ac:dyDescent="0.3">
      <c r="A53" s="260"/>
      <c r="B53" s="258">
        <v>1</v>
      </c>
      <c r="C53" s="260"/>
      <c r="D53" s="260"/>
      <c r="G53">
        <v>52</v>
      </c>
      <c r="H53" s="45" t="s">
        <v>130</v>
      </c>
      <c r="I53" s="247">
        <v>7</v>
      </c>
      <c r="J53" s="138" t="s">
        <v>131</v>
      </c>
      <c r="K53" s="138">
        <v>600</v>
      </c>
      <c r="L53" s="244">
        <f t="shared" ref="L53:L62" si="17">HEX2DEC(LEFT(P53,2))</f>
        <v>111</v>
      </c>
      <c r="M53" s="244">
        <f t="shared" ref="M53:M62" si="18">HEX2DEC(MID(P53,3,2))</f>
        <v>84</v>
      </c>
      <c r="N53" s="244">
        <f t="shared" si="16"/>
        <v>147</v>
      </c>
      <c r="O53" s="138" t="s">
        <v>132</v>
      </c>
      <c r="P53" s="45" t="s">
        <v>133</v>
      </c>
      <c r="Q53" s="45" t="s">
        <v>4</v>
      </c>
      <c r="R53" s="248">
        <f t="shared" si="12"/>
        <v>113.28283188550682</v>
      </c>
      <c r="S53" s="248">
        <f t="shared" si="13"/>
        <v>186.41079468474996</v>
      </c>
      <c r="V53" s="250"/>
      <c r="W53" s="250"/>
    </row>
    <row r="54" spans="1:23" ht="15.75" thickBot="1" x14ac:dyDescent="0.3">
      <c r="A54" s="260"/>
      <c r="B54" s="258">
        <v>18</v>
      </c>
      <c r="C54" s="260"/>
      <c r="D54" s="260"/>
      <c r="G54">
        <v>90</v>
      </c>
      <c r="H54" s="75" t="s">
        <v>330</v>
      </c>
      <c r="I54" s="247">
        <v>303</v>
      </c>
      <c r="J54" s="167" t="s">
        <v>231</v>
      </c>
      <c r="K54" s="167">
        <v>0</v>
      </c>
      <c r="L54" s="244">
        <f t="shared" si="17"/>
        <v>227</v>
      </c>
      <c r="M54" s="244">
        <f t="shared" si="18"/>
        <v>123</v>
      </c>
      <c r="N54" s="244">
        <f t="shared" si="16"/>
        <v>173</v>
      </c>
      <c r="O54" s="167" t="s">
        <v>232</v>
      </c>
      <c r="P54" s="75" t="s">
        <v>233</v>
      </c>
      <c r="Q54" s="75" t="s">
        <v>4</v>
      </c>
      <c r="R54" s="248">
        <f t="shared" si="12"/>
        <v>113.78927893259541</v>
      </c>
      <c r="S54" s="248">
        <f t="shared" si="13"/>
        <v>172.53677144307528</v>
      </c>
      <c r="V54" s="250"/>
      <c r="W54" s="250"/>
    </row>
    <row r="55" spans="1:23" ht="15.75" thickBot="1" x14ac:dyDescent="0.3">
      <c r="A55" s="260"/>
      <c r="B55" s="258">
        <v>92</v>
      </c>
      <c r="C55" s="260"/>
      <c r="D55" s="260"/>
      <c r="G55">
        <v>117</v>
      </c>
      <c r="H55" s="97" t="s">
        <v>215</v>
      </c>
      <c r="I55" s="246"/>
      <c r="J55" s="188" t="s">
        <v>286</v>
      </c>
      <c r="K55" s="188"/>
      <c r="L55" s="244">
        <f t="shared" si="17"/>
        <v>238</v>
      </c>
      <c r="M55" s="244">
        <f t="shared" si="18"/>
        <v>117</v>
      </c>
      <c r="N55" s="244">
        <f t="shared" si="16"/>
        <v>168</v>
      </c>
      <c r="O55" s="228">
        <v>238117168</v>
      </c>
      <c r="P55" s="97" t="s">
        <v>287</v>
      </c>
      <c r="Q55" s="97" t="s">
        <v>4</v>
      </c>
      <c r="R55" s="248">
        <f t="shared" si="12"/>
        <v>114.67344941179715</v>
      </c>
      <c r="S55" s="248">
        <f t="shared" si="13"/>
        <v>175.78630270515959</v>
      </c>
      <c r="V55" s="250"/>
      <c r="W55" s="250"/>
    </row>
    <row r="56" spans="1:23" ht="15.75" thickBot="1" x14ac:dyDescent="0.3">
      <c r="A56" s="260"/>
      <c r="B56" s="258">
        <v>207</v>
      </c>
      <c r="C56" s="260"/>
      <c r="D56" s="260"/>
      <c r="G56">
        <v>111</v>
      </c>
      <c r="H56" s="92" t="s">
        <v>215</v>
      </c>
      <c r="I56" s="246"/>
      <c r="J56" s="183" t="s">
        <v>274</v>
      </c>
      <c r="K56" s="183"/>
      <c r="L56" s="244">
        <f t="shared" si="17"/>
        <v>158</v>
      </c>
      <c r="M56" s="244">
        <f t="shared" si="18"/>
        <v>167</v>
      </c>
      <c r="N56" s="244">
        <f t="shared" si="16"/>
        <v>174</v>
      </c>
      <c r="O56" s="224">
        <v>158167174</v>
      </c>
      <c r="P56" s="92" t="s">
        <v>275</v>
      </c>
      <c r="Q56" s="92" t="s">
        <v>4</v>
      </c>
      <c r="R56" s="248">
        <f t="shared" si="12"/>
        <v>114.69088891450794</v>
      </c>
      <c r="S56" s="248">
        <f t="shared" si="13"/>
        <v>183.14047502873308</v>
      </c>
      <c r="V56" s="250"/>
      <c r="W56" s="250"/>
    </row>
    <row r="57" spans="1:23" ht="15.75" thickBot="1" x14ac:dyDescent="0.3">
      <c r="A57" s="260"/>
      <c r="B57" s="258">
        <v>17</v>
      </c>
      <c r="C57" s="260"/>
      <c r="D57" s="260"/>
      <c r="G57">
        <v>101</v>
      </c>
      <c r="H57" s="84" t="s">
        <v>215</v>
      </c>
      <c r="I57" s="246"/>
      <c r="J57" s="175" t="s">
        <v>254</v>
      </c>
      <c r="K57" s="175"/>
      <c r="L57" s="244">
        <f t="shared" si="17"/>
        <v>105</v>
      </c>
      <c r="M57" s="244">
        <f t="shared" si="18"/>
        <v>65</v>
      </c>
      <c r="N57" s="244">
        <f t="shared" si="16"/>
        <v>132</v>
      </c>
      <c r="O57" s="175" t="s">
        <v>255</v>
      </c>
      <c r="P57" s="84">
        <v>694184</v>
      </c>
      <c r="Q57" s="84" t="s">
        <v>4</v>
      </c>
      <c r="R57" s="248">
        <f t="shared" si="12"/>
        <v>116.57186624567696</v>
      </c>
      <c r="S57" s="248">
        <f t="shared" si="13"/>
        <v>199.57172895979031</v>
      </c>
      <c r="V57" s="250"/>
      <c r="W57" s="250"/>
    </row>
    <row r="58" spans="1:23" ht="15.75" thickBot="1" x14ac:dyDescent="0.3">
      <c r="A58" s="260"/>
      <c r="B58" s="258">
        <v>81</v>
      </c>
      <c r="C58" s="260"/>
      <c r="D58" s="260"/>
      <c r="G58">
        <v>104</v>
      </c>
      <c r="H58" s="87" t="s">
        <v>215</v>
      </c>
      <c r="I58" s="246"/>
      <c r="J58" s="178" t="s">
        <v>261</v>
      </c>
      <c r="K58" s="178"/>
      <c r="L58" s="244">
        <f t="shared" si="17"/>
        <v>166</v>
      </c>
      <c r="M58" s="244">
        <f t="shared" si="18"/>
        <v>169</v>
      </c>
      <c r="N58" s="244">
        <f t="shared" si="16"/>
        <v>177</v>
      </c>
      <c r="O58" s="221">
        <v>166169177</v>
      </c>
      <c r="P58" s="87" t="s">
        <v>262</v>
      </c>
      <c r="Q58" s="87" t="s">
        <v>4</v>
      </c>
      <c r="R58" s="248">
        <f t="shared" si="12"/>
        <v>116.84605256490268</v>
      </c>
      <c r="S58" s="248">
        <f t="shared" si="13"/>
        <v>186.2789144921534</v>
      </c>
      <c r="V58" s="250"/>
      <c r="W58" s="250"/>
    </row>
    <row r="59" spans="1:23" ht="15.75" thickBot="1" x14ac:dyDescent="0.3">
      <c r="A59" s="260"/>
      <c r="B59">
        <v>12</v>
      </c>
      <c r="C59" s="260"/>
      <c r="D59" s="260"/>
      <c r="G59">
        <v>51</v>
      </c>
      <c r="H59" s="44" t="s">
        <v>127</v>
      </c>
      <c r="I59" s="247">
        <v>54</v>
      </c>
      <c r="J59" s="137" t="s">
        <v>128</v>
      </c>
      <c r="K59" s="137">
        <v>2000</v>
      </c>
      <c r="L59" s="244">
        <f t="shared" si="17"/>
        <v>149</v>
      </c>
      <c r="M59" s="244">
        <f t="shared" si="18"/>
        <v>130</v>
      </c>
      <c r="N59" s="244">
        <f t="shared" si="16"/>
        <v>187</v>
      </c>
      <c r="O59" s="204">
        <v>149130187</v>
      </c>
      <c r="P59" s="44" t="s">
        <v>129</v>
      </c>
      <c r="Q59" s="44" t="s">
        <v>4</v>
      </c>
      <c r="R59" s="248">
        <f t="shared" si="12"/>
        <v>122.29881438509533</v>
      </c>
      <c r="S59" s="248">
        <f t="shared" si="13"/>
        <v>188.38034995720759</v>
      </c>
      <c r="V59" s="250"/>
      <c r="W59" s="250"/>
    </row>
    <row r="60" spans="1:23" ht="15.75" thickBot="1" x14ac:dyDescent="0.3">
      <c r="A60" s="260"/>
      <c r="B60" s="261">
        <v>20</v>
      </c>
      <c r="C60" s="260"/>
      <c r="D60" s="260"/>
      <c r="G60">
        <v>77</v>
      </c>
      <c r="H60" s="64" t="s">
        <v>195</v>
      </c>
      <c r="I60" s="247">
        <v>179</v>
      </c>
      <c r="J60" s="157" t="s">
        <v>196</v>
      </c>
      <c r="K60" s="157">
        <v>3000</v>
      </c>
      <c r="L60" s="244">
        <f t="shared" si="17"/>
        <v>60</v>
      </c>
      <c r="M60" s="244">
        <f t="shared" si="18"/>
        <v>97</v>
      </c>
      <c r="N60" s="244">
        <f t="shared" si="16"/>
        <v>79</v>
      </c>
      <c r="O60" s="157" t="s">
        <v>197</v>
      </c>
      <c r="P60" s="64" t="s">
        <v>198</v>
      </c>
      <c r="Q60" s="64" t="s">
        <v>4</v>
      </c>
      <c r="R60" s="248">
        <f t="shared" si="12"/>
        <v>125.06398362438324</v>
      </c>
      <c r="S60" s="248">
        <f t="shared" si="13"/>
        <v>200.06524814576119</v>
      </c>
      <c r="V60" s="250"/>
      <c r="W60" s="250"/>
    </row>
    <row r="61" spans="1:23" ht="15.75" thickBot="1" x14ac:dyDescent="0.3">
      <c r="A61" s="260"/>
      <c r="B61" s="258">
        <v>21</v>
      </c>
      <c r="C61" s="260"/>
      <c r="D61" s="260"/>
      <c r="G61">
        <v>13</v>
      </c>
      <c r="H61" s="14" t="s">
        <v>31</v>
      </c>
      <c r="I61" s="247">
        <v>98</v>
      </c>
      <c r="J61" s="110" t="s">
        <v>32</v>
      </c>
      <c r="K61" s="110">
        <v>300</v>
      </c>
      <c r="L61" s="244">
        <f t="shared" si="17"/>
        <v>234</v>
      </c>
      <c r="M61" s="244">
        <f t="shared" si="18"/>
        <v>196</v>
      </c>
      <c r="N61" s="244">
        <f t="shared" si="16"/>
        <v>159</v>
      </c>
      <c r="O61" s="192">
        <v>234196159</v>
      </c>
      <c r="P61" s="14" t="s">
        <v>33</v>
      </c>
      <c r="Q61" s="14" t="s">
        <v>4</v>
      </c>
      <c r="R61" s="248">
        <f t="shared" si="12"/>
        <v>125.17987058628876</v>
      </c>
      <c r="S61" s="248">
        <f t="shared" si="13"/>
        <v>211.28595755367888</v>
      </c>
      <c r="V61" s="250"/>
      <c r="W61" s="250"/>
    </row>
    <row r="62" spans="1:23" ht="15.75" thickBot="1" x14ac:dyDescent="0.3">
      <c r="A62" s="260"/>
      <c r="B62" s="258">
        <v>85</v>
      </c>
      <c r="C62" s="260"/>
      <c r="D62" s="260"/>
      <c r="G62">
        <v>121</v>
      </c>
      <c r="H62" s="255"/>
      <c r="I62" s="249">
        <v>400</v>
      </c>
      <c r="J62" s="231" t="s">
        <v>292</v>
      </c>
      <c r="K62" s="231">
        <v>0</v>
      </c>
      <c r="L62" s="244">
        <f t="shared" si="17"/>
        <v>225</v>
      </c>
      <c r="M62" s="244">
        <f t="shared" si="18"/>
        <v>238</v>
      </c>
      <c r="N62" s="244">
        <f t="shared" si="16"/>
        <v>125</v>
      </c>
      <c r="O62" s="231" t="s">
        <v>293</v>
      </c>
      <c r="P62" s="231" t="s">
        <v>294</v>
      </c>
      <c r="Q62" s="231" t="s">
        <v>4</v>
      </c>
      <c r="R62" s="248">
        <f t="shared" si="12"/>
        <v>131.88252348207476</v>
      </c>
      <c r="S62" s="248">
        <f t="shared" si="13"/>
        <v>248.19385064904409</v>
      </c>
      <c r="V62" s="250"/>
      <c r="W62" s="250"/>
    </row>
    <row r="63" spans="1:23" ht="15.75" thickBot="1" x14ac:dyDescent="0.3">
      <c r="A63" s="260"/>
      <c r="B63" s="258">
        <v>96</v>
      </c>
      <c r="C63" s="260"/>
      <c r="D63" s="260"/>
      <c r="G63">
        <v>72</v>
      </c>
      <c r="H63" s="60" t="s">
        <v>181</v>
      </c>
      <c r="I63" s="247">
        <v>80</v>
      </c>
      <c r="J63" s="153" t="s">
        <v>182</v>
      </c>
      <c r="K63" s="153">
        <v>700</v>
      </c>
      <c r="L63" s="244">
        <v>70</v>
      </c>
      <c r="M63" s="244">
        <v>200</v>
      </c>
      <c r="N63" s="244">
        <v>80</v>
      </c>
      <c r="O63" s="153" t="s">
        <v>183</v>
      </c>
      <c r="P63" s="60" t="s">
        <v>184</v>
      </c>
      <c r="Q63" s="60" t="s">
        <v>4</v>
      </c>
      <c r="R63" s="248">
        <f t="shared" si="12"/>
        <v>133.30791424367871</v>
      </c>
      <c r="S63" s="248">
        <f t="shared" si="13"/>
        <v>228.69496434934896</v>
      </c>
      <c r="V63" s="250"/>
      <c r="W63" s="250"/>
    </row>
    <row r="64" spans="1:23" ht="15.75" thickBot="1" x14ac:dyDescent="0.3">
      <c r="A64" s="260"/>
      <c r="B64" s="258">
        <v>5</v>
      </c>
      <c r="C64" s="260"/>
      <c r="D64" s="260"/>
      <c r="G64">
        <v>70</v>
      </c>
      <c r="H64" s="58" t="s">
        <v>174</v>
      </c>
      <c r="I64" s="247">
        <v>53</v>
      </c>
      <c r="J64" s="151" t="s">
        <v>175</v>
      </c>
      <c r="K64" s="151">
        <v>1000</v>
      </c>
      <c r="L64" s="244">
        <f>HEX2DEC(LEFT(P64,2))</f>
        <v>115</v>
      </c>
      <c r="M64" s="244">
        <f>HEX2DEC(MID(P64,3,2))</f>
        <v>213</v>
      </c>
      <c r="N64" s="244">
        <f>HEX2DEC(RIGHT(P64,2))</f>
        <v>148</v>
      </c>
      <c r="O64" s="212">
        <v>115213148</v>
      </c>
      <c r="P64" s="58" t="s">
        <v>176</v>
      </c>
      <c r="Q64" s="58" t="s">
        <v>4</v>
      </c>
      <c r="R64" s="248">
        <f t="shared" si="12"/>
        <v>134.13798865347579</v>
      </c>
      <c r="S64" s="248">
        <f t="shared" si="13"/>
        <v>236.44207635010736</v>
      </c>
      <c r="V64" s="250"/>
      <c r="W64" s="250"/>
    </row>
    <row r="65" spans="1:23" ht="15.75" thickBot="1" x14ac:dyDescent="0.3">
      <c r="A65" s="260"/>
      <c r="B65" s="258">
        <v>212</v>
      </c>
      <c r="C65" s="260"/>
      <c r="D65" s="260"/>
      <c r="G65">
        <v>95</v>
      </c>
      <c r="H65" s="81" t="s">
        <v>246</v>
      </c>
      <c r="I65" s="247">
        <v>101</v>
      </c>
      <c r="J65" s="172" t="s">
        <v>247</v>
      </c>
      <c r="K65" s="172">
        <v>0</v>
      </c>
      <c r="L65" s="244">
        <v>130</v>
      </c>
      <c r="M65" s="244">
        <v>185</v>
      </c>
      <c r="N65" s="244">
        <v>179</v>
      </c>
      <c r="O65" s="218">
        <v>130185179</v>
      </c>
      <c r="P65" s="81" t="s">
        <v>248</v>
      </c>
      <c r="Q65" s="81" t="s">
        <v>4</v>
      </c>
      <c r="R65" s="248">
        <f t="shared" si="12"/>
        <v>134.40610105199838</v>
      </c>
      <c r="S65" s="248">
        <f t="shared" si="13"/>
        <v>221.67731950827761</v>
      </c>
      <c r="V65" s="250"/>
      <c r="W65" s="250"/>
    </row>
    <row r="66" spans="1:23" ht="15.75" thickBot="1" x14ac:dyDescent="0.3">
      <c r="A66" s="260"/>
      <c r="B66" s="258">
        <v>4</v>
      </c>
      <c r="C66" s="260"/>
      <c r="D66" s="260"/>
      <c r="G66">
        <v>3</v>
      </c>
      <c r="H66" s="4" t="s">
        <v>5</v>
      </c>
      <c r="I66" s="247">
        <v>81</v>
      </c>
      <c r="J66" s="102" t="s">
        <v>6</v>
      </c>
      <c r="K66" s="102">
        <v>8000</v>
      </c>
      <c r="L66" s="244">
        <f t="shared" ref="L66:L76" si="19">HEX2DEC(LEFT(P66,2))</f>
        <v>190</v>
      </c>
      <c r="M66" s="244">
        <f t="shared" ref="M66:M76" si="20">HEX2DEC(MID(P66,3,2))</f>
        <v>195</v>
      </c>
      <c r="N66" s="244">
        <f t="shared" ref="N66:N76" si="21">HEX2DEC(RIGHT(P66,2))</f>
        <v>191</v>
      </c>
      <c r="O66" s="102" t="s">
        <v>7</v>
      </c>
      <c r="P66" s="4" t="s">
        <v>8</v>
      </c>
      <c r="Q66" s="4" t="s">
        <v>4</v>
      </c>
      <c r="R66" s="248">
        <f t="shared" si="12"/>
        <v>139.96070877214075</v>
      </c>
      <c r="S66" s="248">
        <f t="shared" si="13"/>
        <v>229.1843511169011</v>
      </c>
      <c r="V66" s="250"/>
      <c r="W66" s="250"/>
    </row>
    <row r="67" spans="1:23" ht="15.75" thickBot="1" x14ac:dyDescent="0.3">
      <c r="A67" s="260"/>
      <c r="B67" s="258">
        <v>90</v>
      </c>
      <c r="C67" s="260"/>
      <c r="D67" s="260"/>
      <c r="G67">
        <v>55</v>
      </c>
      <c r="H67" s="47" t="s">
        <v>137</v>
      </c>
      <c r="I67" s="247">
        <v>70</v>
      </c>
      <c r="J67" s="140" t="s">
        <v>138</v>
      </c>
      <c r="K67" s="140">
        <v>500</v>
      </c>
      <c r="L67" s="244">
        <f t="shared" si="19"/>
        <v>108</v>
      </c>
      <c r="M67" s="244">
        <f t="shared" si="20"/>
        <v>136</v>
      </c>
      <c r="N67" s="244">
        <f t="shared" si="21"/>
        <v>191</v>
      </c>
      <c r="O67" s="206">
        <v>108136191</v>
      </c>
      <c r="P67" s="47" t="s">
        <v>139</v>
      </c>
      <c r="Q67" s="47" t="s">
        <v>4</v>
      </c>
      <c r="R67" s="248">
        <f t="shared" ref="R67:R98" si="22">SQRT(($U$2-L67)^2+($V$2-M67)^2+($W$2-N67)^2)</f>
        <v>142.45701105947717</v>
      </c>
      <c r="S67" s="248">
        <f t="shared" ref="S67:S98" si="23">SQRT((2+(($U$2+L67)/2)/256)*($U$2-L67)^2 + 4*($V$2-M67)^2 + (2+(255-(($U$2+L67)/2))/256)*($W$2-N67)^2)</f>
        <v>224.01453025557294</v>
      </c>
      <c r="V67" s="250"/>
      <c r="W67" s="250"/>
    </row>
    <row r="68" spans="1:23" ht="15.75" thickBot="1" x14ac:dyDescent="0.3">
      <c r="A68" s="260"/>
      <c r="B68" s="258">
        <v>57</v>
      </c>
      <c r="C68" s="260"/>
      <c r="D68" s="260"/>
      <c r="G68">
        <v>124</v>
      </c>
      <c r="H68" s="255"/>
      <c r="I68" s="249">
        <v>403</v>
      </c>
      <c r="J68" s="235" t="s">
        <v>301</v>
      </c>
      <c r="K68" s="235">
        <v>0</v>
      </c>
      <c r="L68" s="244">
        <f t="shared" si="19"/>
        <v>156</v>
      </c>
      <c r="M68" s="244">
        <f t="shared" si="20"/>
        <v>185</v>
      </c>
      <c r="N68" s="244">
        <f t="shared" si="21"/>
        <v>199</v>
      </c>
      <c r="O68" s="235" t="s">
        <v>302</v>
      </c>
      <c r="P68" s="235" t="s">
        <v>303</v>
      </c>
      <c r="Q68" s="235" t="s">
        <v>4</v>
      </c>
      <c r="R68" s="248">
        <f t="shared" si="22"/>
        <v>144.53027364535086</v>
      </c>
      <c r="S68" s="248">
        <f t="shared" si="23"/>
        <v>233.72575492577835</v>
      </c>
      <c r="V68" s="250"/>
      <c r="W68" s="250"/>
    </row>
    <row r="69" spans="1:23" ht="15.75" thickBot="1" x14ac:dyDescent="0.3">
      <c r="A69" s="260"/>
      <c r="B69" s="258">
        <v>3</v>
      </c>
      <c r="C69" s="260"/>
      <c r="D69" s="260"/>
      <c r="G69">
        <v>105</v>
      </c>
      <c r="H69" s="88" t="s">
        <v>215</v>
      </c>
      <c r="I69" s="246"/>
      <c r="J69" s="179" t="s">
        <v>263</v>
      </c>
      <c r="K69" s="179"/>
      <c r="L69" s="244">
        <f t="shared" si="19"/>
        <v>56</v>
      </c>
      <c r="M69" s="244">
        <f t="shared" si="20"/>
        <v>55</v>
      </c>
      <c r="N69" s="244">
        <f t="shared" si="21"/>
        <v>55</v>
      </c>
      <c r="O69" s="179" t="s">
        <v>264</v>
      </c>
      <c r="P69" s="88">
        <v>383737</v>
      </c>
      <c r="Q69" s="88" t="s">
        <v>4</v>
      </c>
      <c r="R69" s="248">
        <f t="shared" si="22"/>
        <v>144.93101807411691</v>
      </c>
      <c r="S69" s="248">
        <f t="shared" si="23"/>
        <v>244.36688365677745</v>
      </c>
      <c r="V69" s="250"/>
      <c r="W69" s="250"/>
    </row>
    <row r="70" spans="1:23" ht="15.75" thickBot="1" x14ac:dyDescent="0.3">
      <c r="A70" s="260"/>
      <c r="B70" s="258">
        <v>2</v>
      </c>
      <c r="C70" s="260"/>
      <c r="D70" s="260"/>
      <c r="G70">
        <v>50</v>
      </c>
      <c r="H70" s="43" t="s">
        <v>124</v>
      </c>
      <c r="I70" s="247">
        <v>82</v>
      </c>
      <c r="J70" s="136" t="s">
        <v>125</v>
      </c>
      <c r="K70" s="136">
        <v>1000</v>
      </c>
      <c r="L70" s="244">
        <f t="shared" si="19"/>
        <v>180</v>
      </c>
      <c r="M70" s="244">
        <f t="shared" si="20"/>
        <v>166</v>
      </c>
      <c r="N70" s="244">
        <f t="shared" si="21"/>
        <v>211</v>
      </c>
      <c r="O70" s="203">
        <v>180166211</v>
      </c>
      <c r="P70" s="43" t="s">
        <v>126</v>
      </c>
      <c r="Q70" s="43" t="s">
        <v>4</v>
      </c>
      <c r="R70" s="248">
        <f t="shared" si="22"/>
        <v>147.26167186338745</v>
      </c>
      <c r="S70" s="248">
        <f t="shared" si="23"/>
        <v>228.65420210576713</v>
      </c>
      <c r="V70" s="250"/>
      <c r="W70" s="250"/>
    </row>
    <row r="71" spans="1:23" ht="15.75" thickBot="1" x14ac:dyDescent="0.3">
      <c r="A71" s="260"/>
      <c r="B71" s="258">
        <v>97</v>
      </c>
      <c r="C71" s="260"/>
      <c r="D71" s="260"/>
      <c r="G71">
        <v>27</v>
      </c>
      <c r="H71" s="24" t="s">
        <v>59</v>
      </c>
      <c r="I71" s="247">
        <v>56</v>
      </c>
      <c r="J71" s="118" t="s">
        <v>60</v>
      </c>
      <c r="K71" s="118">
        <v>500</v>
      </c>
      <c r="L71" s="244">
        <f t="shared" si="19"/>
        <v>250</v>
      </c>
      <c r="M71" s="244">
        <f t="shared" si="20"/>
        <v>238</v>
      </c>
      <c r="N71" s="244">
        <f t="shared" si="21"/>
        <v>141</v>
      </c>
      <c r="O71" s="196">
        <v>250238141</v>
      </c>
      <c r="P71" s="24" t="s">
        <v>61</v>
      </c>
      <c r="Q71" s="24" t="s">
        <v>4</v>
      </c>
      <c r="R71" s="248">
        <f t="shared" si="22"/>
        <v>149.21796138535066</v>
      </c>
      <c r="S71" s="248">
        <f t="shared" si="23"/>
        <v>271.99571673442762</v>
      </c>
      <c r="V71" s="250"/>
      <c r="W71" s="250"/>
    </row>
    <row r="72" spans="1:23" ht="15.75" thickBot="1" x14ac:dyDescent="0.3">
      <c r="A72" s="260"/>
      <c r="B72" s="258">
        <v>53</v>
      </c>
      <c r="C72" s="260"/>
      <c r="D72" s="260"/>
      <c r="G72">
        <v>37</v>
      </c>
      <c r="H72" s="32" t="s">
        <v>88</v>
      </c>
      <c r="I72" s="247">
        <v>204</v>
      </c>
      <c r="J72" s="126" t="s">
        <v>89</v>
      </c>
      <c r="K72" s="126">
        <v>1000</v>
      </c>
      <c r="L72" s="244">
        <f t="shared" si="19"/>
        <v>255</v>
      </c>
      <c r="M72" s="244">
        <f t="shared" si="20"/>
        <v>181</v>
      </c>
      <c r="N72" s="244">
        <f t="shared" si="21"/>
        <v>190</v>
      </c>
      <c r="O72" s="199">
        <v>255181190</v>
      </c>
      <c r="P72" s="32" t="s">
        <v>90</v>
      </c>
      <c r="Q72" s="32" t="s">
        <v>4</v>
      </c>
      <c r="R72" s="248">
        <f t="shared" si="22"/>
        <v>151.76626766182267</v>
      </c>
      <c r="S72" s="248">
        <f t="shared" si="23"/>
        <v>242.23385040338601</v>
      </c>
      <c r="V72" s="250"/>
      <c r="W72" s="250"/>
    </row>
    <row r="73" spans="1:23" ht="15.75" thickBot="1" x14ac:dyDescent="0.3">
      <c r="A73" s="260"/>
      <c r="B73" s="261">
        <v>219</v>
      </c>
      <c r="C73" s="260"/>
      <c r="D73" s="260"/>
      <c r="G73">
        <v>131</v>
      </c>
      <c r="H73" s="255"/>
      <c r="I73" s="249">
        <v>410</v>
      </c>
      <c r="J73" s="242" t="s">
        <v>322</v>
      </c>
      <c r="K73" s="242">
        <v>1000</v>
      </c>
      <c r="L73" s="244">
        <f t="shared" si="19"/>
        <v>54</v>
      </c>
      <c r="M73" s="244">
        <f t="shared" si="20"/>
        <v>141</v>
      </c>
      <c r="N73" s="244">
        <f t="shared" si="21"/>
        <v>151</v>
      </c>
      <c r="O73" s="242" t="s">
        <v>323</v>
      </c>
      <c r="P73" s="242" t="s">
        <v>324</v>
      </c>
      <c r="Q73" s="242" t="s">
        <v>4</v>
      </c>
      <c r="R73" s="248">
        <f t="shared" si="22"/>
        <v>151.81897114655993</v>
      </c>
      <c r="S73" s="248">
        <f t="shared" si="23"/>
        <v>239.80092247919939</v>
      </c>
      <c r="V73" s="250"/>
      <c r="W73" s="250"/>
    </row>
    <row r="74" spans="1:23" ht="15.75" thickBot="1" x14ac:dyDescent="0.3">
      <c r="A74" s="260"/>
      <c r="B74" s="261">
        <v>10</v>
      </c>
      <c r="C74" s="260"/>
      <c r="D74" s="260"/>
      <c r="G74">
        <v>38</v>
      </c>
      <c r="H74" s="33" t="s">
        <v>91</v>
      </c>
      <c r="I74" s="247">
        <v>33</v>
      </c>
      <c r="J74" s="127" t="s">
        <v>92</v>
      </c>
      <c r="K74" s="127">
        <v>1000</v>
      </c>
      <c r="L74" s="244">
        <f t="shared" si="19"/>
        <v>252</v>
      </c>
      <c r="M74" s="244">
        <f t="shared" si="20"/>
        <v>198</v>
      </c>
      <c r="N74" s="244">
        <f t="shared" si="21"/>
        <v>184</v>
      </c>
      <c r="O74" s="200">
        <v>252198184</v>
      </c>
      <c r="P74" s="33" t="s">
        <v>93</v>
      </c>
      <c r="Q74" s="33" t="s">
        <v>4</v>
      </c>
      <c r="R74" s="248">
        <f t="shared" si="22"/>
        <v>152.66630276521403</v>
      </c>
      <c r="S74" s="248">
        <f t="shared" si="23"/>
        <v>250.89461028238529</v>
      </c>
      <c r="V74" s="250"/>
      <c r="W74" s="250"/>
    </row>
    <row r="75" spans="1:23" ht="15.75" thickBot="1" x14ac:dyDescent="0.3">
      <c r="A75" s="260"/>
      <c r="B75" s="261">
        <v>179</v>
      </c>
      <c r="C75" s="260"/>
      <c r="D75" s="260"/>
      <c r="G75">
        <v>116</v>
      </c>
      <c r="H75" s="96" t="s">
        <v>215</v>
      </c>
      <c r="I75" s="246"/>
      <c r="J75" s="187" t="s">
        <v>284</v>
      </c>
      <c r="K75" s="187"/>
      <c r="L75" s="244">
        <f t="shared" si="19"/>
        <v>86</v>
      </c>
      <c r="M75" s="244">
        <f t="shared" si="20"/>
        <v>172</v>
      </c>
      <c r="N75" s="244">
        <f t="shared" si="21"/>
        <v>190</v>
      </c>
      <c r="O75" s="227">
        <v>86172190</v>
      </c>
      <c r="P75" s="96" t="s">
        <v>285</v>
      </c>
      <c r="Q75" s="96" t="s">
        <v>4</v>
      </c>
      <c r="R75" s="248">
        <f t="shared" si="22"/>
        <v>160.28412273210344</v>
      </c>
      <c r="S75" s="248">
        <f t="shared" si="23"/>
        <v>259.01187683917124</v>
      </c>
      <c r="V75" s="250"/>
      <c r="W75" s="250"/>
    </row>
    <row r="76" spans="1:23" ht="15.75" thickBot="1" x14ac:dyDescent="0.3">
      <c r="A76" s="260"/>
      <c r="B76" s="261">
        <v>201</v>
      </c>
      <c r="C76" s="260"/>
      <c r="D76" s="260"/>
      <c r="G76">
        <v>89</v>
      </c>
      <c r="H76" s="74" t="s">
        <v>329</v>
      </c>
      <c r="I76" s="247">
        <v>302</v>
      </c>
      <c r="J76" s="166" t="s">
        <v>228</v>
      </c>
      <c r="K76" s="166">
        <v>0</v>
      </c>
      <c r="L76" s="244">
        <f t="shared" si="19"/>
        <v>216</v>
      </c>
      <c r="M76" s="244">
        <f t="shared" si="20"/>
        <v>214</v>
      </c>
      <c r="N76" s="244">
        <f t="shared" si="21"/>
        <v>199</v>
      </c>
      <c r="O76" s="166" t="s">
        <v>229</v>
      </c>
      <c r="P76" s="74" t="s">
        <v>230</v>
      </c>
      <c r="Q76" s="74" t="s">
        <v>4</v>
      </c>
      <c r="R76" s="248">
        <f t="shared" si="22"/>
        <v>160.29348084061311</v>
      </c>
      <c r="S76" s="248">
        <f t="shared" si="23"/>
        <v>266.84402996530577</v>
      </c>
      <c r="V76" s="250"/>
      <c r="W76" s="250"/>
    </row>
    <row r="77" spans="1:23" ht="15.75" thickBot="1" x14ac:dyDescent="0.3">
      <c r="A77" s="262"/>
      <c r="B77" s="261">
        <v>8</v>
      </c>
      <c r="C77" s="262"/>
      <c r="D77" s="262"/>
      <c r="G77">
        <v>62</v>
      </c>
      <c r="H77" s="53" t="s">
        <v>157</v>
      </c>
      <c r="I77" s="247">
        <v>201</v>
      </c>
      <c r="J77" s="146" t="s">
        <v>158</v>
      </c>
      <c r="K77" s="146">
        <v>3000</v>
      </c>
      <c r="L77" s="244">
        <v>35</v>
      </c>
      <c r="M77" s="244">
        <v>55</v>
      </c>
      <c r="N77" s="244">
        <v>85</v>
      </c>
      <c r="O77" s="146" t="s">
        <v>159</v>
      </c>
      <c r="P77" s="53">
        <v>162846</v>
      </c>
      <c r="Q77" s="53" t="s">
        <v>4</v>
      </c>
      <c r="R77" s="248">
        <f t="shared" si="22"/>
        <v>163.5726138447387</v>
      </c>
      <c r="S77" s="248">
        <f t="shared" si="23"/>
        <v>270.22155261932755</v>
      </c>
      <c r="V77" s="250"/>
      <c r="W77" s="250"/>
    </row>
    <row r="78" spans="1:23" ht="15.75" thickBot="1" x14ac:dyDescent="0.3">
      <c r="B78" s="261">
        <v>200</v>
      </c>
      <c r="G78">
        <v>74</v>
      </c>
      <c r="H78" s="62" t="s">
        <v>188</v>
      </c>
      <c r="I78" s="247">
        <v>10</v>
      </c>
      <c r="J78" s="155" t="s">
        <v>189</v>
      </c>
      <c r="K78" s="155">
        <v>700</v>
      </c>
      <c r="L78" s="244">
        <f t="shared" ref="L78:L87" si="24">HEX2DEC(LEFT(P78,2))</f>
        <v>16</v>
      </c>
      <c r="M78" s="244">
        <f t="shared" ref="M78:M87" si="25">HEX2DEC(MID(P78,3,2))</f>
        <v>131</v>
      </c>
      <c r="N78" s="244">
        <f t="shared" ref="N78:N87" si="26">HEX2DEC(RIGHT(P78,2))</f>
        <v>85</v>
      </c>
      <c r="O78" s="155" t="s">
        <v>190</v>
      </c>
      <c r="P78" s="62">
        <v>108355</v>
      </c>
      <c r="Q78" s="62" t="s">
        <v>4</v>
      </c>
      <c r="R78" s="248">
        <f t="shared" si="22"/>
        <v>165.8221939307281</v>
      </c>
      <c r="S78" s="248">
        <f t="shared" si="23"/>
        <v>256.23767119731826</v>
      </c>
      <c r="V78" s="250"/>
      <c r="W78" s="250"/>
    </row>
    <row r="79" spans="1:23" ht="15.75" thickBot="1" x14ac:dyDescent="0.3">
      <c r="B79" s="261">
        <v>9</v>
      </c>
      <c r="G79">
        <v>25</v>
      </c>
      <c r="H79" s="23" t="s">
        <v>56</v>
      </c>
      <c r="I79" s="247">
        <v>2</v>
      </c>
      <c r="J79" s="117" t="s">
        <v>57</v>
      </c>
      <c r="K79" s="117">
        <v>1000</v>
      </c>
      <c r="L79" s="244">
        <f t="shared" si="24"/>
        <v>237</v>
      </c>
      <c r="M79" s="244">
        <f t="shared" si="25"/>
        <v>231</v>
      </c>
      <c r="N79" s="244">
        <f t="shared" si="26"/>
        <v>186</v>
      </c>
      <c r="O79" s="195">
        <v>237231186</v>
      </c>
      <c r="P79" s="23" t="s">
        <v>58</v>
      </c>
      <c r="Q79" s="23" t="s">
        <v>4</v>
      </c>
      <c r="R79" s="248">
        <f t="shared" si="22"/>
        <v>166.2558269655533</v>
      </c>
      <c r="S79" s="248">
        <f t="shared" si="23"/>
        <v>286.24114342194065</v>
      </c>
      <c r="V79" s="250"/>
      <c r="W79" s="250"/>
    </row>
    <row r="80" spans="1:23" ht="15.75" thickBot="1" x14ac:dyDescent="0.3">
      <c r="B80" s="261">
        <v>52</v>
      </c>
      <c r="G80">
        <v>54</v>
      </c>
      <c r="H80" s="46" t="s">
        <v>134</v>
      </c>
      <c r="I80" s="247">
        <v>93</v>
      </c>
      <c r="J80" s="139" t="s">
        <v>135</v>
      </c>
      <c r="K80" s="139">
        <v>1000</v>
      </c>
      <c r="L80" s="244">
        <f t="shared" si="24"/>
        <v>135</v>
      </c>
      <c r="M80" s="244">
        <f t="shared" si="25"/>
        <v>167</v>
      </c>
      <c r="N80" s="244">
        <f t="shared" si="26"/>
        <v>225</v>
      </c>
      <c r="O80" s="205">
        <v>135167225</v>
      </c>
      <c r="P80" s="46" t="s">
        <v>136</v>
      </c>
      <c r="Q80" s="46" t="s">
        <v>4</v>
      </c>
      <c r="R80" s="248">
        <f t="shared" si="22"/>
        <v>167.4873129523547</v>
      </c>
      <c r="S80" s="248">
        <f t="shared" si="23"/>
        <v>264.25561725344647</v>
      </c>
      <c r="V80" s="250"/>
      <c r="W80" s="250"/>
    </row>
    <row r="81" spans="2:23" ht="15.75" thickBot="1" x14ac:dyDescent="0.3">
      <c r="B81" s="261">
        <v>11</v>
      </c>
      <c r="G81">
        <v>61</v>
      </c>
      <c r="H81" s="52" t="s">
        <v>153</v>
      </c>
      <c r="I81" s="247">
        <v>8</v>
      </c>
      <c r="J81" s="145" t="s">
        <v>154</v>
      </c>
      <c r="K81" s="145">
        <v>4000</v>
      </c>
      <c r="L81" s="244">
        <f t="shared" si="24"/>
        <v>43</v>
      </c>
      <c r="M81" s="244">
        <f t="shared" si="25"/>
        <v>48</v>
      </c>
      <c r="N81" s="244">
        <f t="shared" si="26"/>
        <v>124</v>
      </c>
      <c r="O81" s="145" t="s">
        <v>155</v>
      </c>
      <c r="P81" s="52" t="s">
        <v>156</v>
      </c>
      <c r="Q81" s="52" t="s">
        <v>4</v>
      </c>
      <c r="R81" s="248">
        <f t="shared" si="22"/>
        <v>168.25575770237404</v>
      </c>
      <c r="S81" s="248">
        <f t="shared" si="23"/>
        <v>281.28899035289311</v>
      </c>
      <c r="V81" s="250"/>
      <c r="W81" s="250"/>
    </row>
    <row r="82" spans="2:23" ht="15.75" thickBot="1" x14ac:dyDescent="0.3">
      <c r="B82" s="261">
        <v>202</v>
      </c>
      <c r="G82">
        <v>40</v>
      </c>
      <c r="H82" s="34" t="s">
        <v>94</v>
      </c>
      <c r="I82" s="247">
        <v>79</v>
      </c>
      <c r="J82" s="128" t="s">
        <v>95</v>
      </c>
      <c r="K82" s="128">
        <v>600</v>
      </c>
      <c r="L82" s="244">
        <f t="shared" si="24"/>
        <v>245</v>
      </c>
      <c r="M82" s="244">
        <f t="shared" si="25"/>
        <v>192</v>
      </c>
      <c r="N82" s="244">
        <f t="shared" si="26"/>
        <v>213</v>
      </c>
      <c r="O82" s="201">
        <v>245192213</v>
      </c>
      <c r="P82" s="34" t="s">
        <v>96</v>
      </c>
      <c r="Q82" s="34" t="s">
        <v>4</v>
      </c>
      <c r="R82" s="248">
        <f t="shared" si="22"/>
        <v>170.46113926640288</v>
      </c>
      <c r="S82" s="248">
        <f t="shared" si="23"/>
        <v>270.87635555729111</v>
      </c>
      <c r="V82" s="250"/>
      <c r="W82" s="250"/>
    </row>
    <row r="83" spans="2:23" ht="15.75" thickBot="1" x14ac:dyDescent="0.3">
      <c r="B83" s="261">
        <v>82</v>
      </c>
      <c r="G83">
        <v>58</v>
      </c>
      <c r="H83" s="49" t="s">
        <v>143</v>
      </c>
      <c r="I83" s="247">
        <v>52</v>
      </c>
      <c r="J83" s="142" t="s">
        <v>144</v>
      </c>
      <c r="K83" s="142">
        <v>2000</v>
      </c>
      <c r="L83" s="244">
        <f t="shared" si="24"/>
        <v>99</v>
      </c>
      <c r="M83" s="244">
        <f t="shared" si="25"/>
        <v>169</v>
      </c>
      <c r="N83" s="244">
        <f t="shared" si="26"/>
        <v>214</v>
      </c>
      <c r="O83" s="208">
        <v>99169214</v>
      </c>
      <c r="P83" s="49" t="s">
        <v>145</v>
      </c>
      <c r="Q83" s="49" t="s">
        <v>4</v>
      </c>
      <c r="R83" s="248">
        <f t="shared" si="22"/>
        <v>171.79348066792289</v>
      </c>
      <c r="S83" s="248">
        <f t="shared" si="23"/>
        <v>275.09273294427464</v>
      </c>
      <c r="V83" s="250"/>
      <c r="W83" s="250"/>
    </row>
    <row r="84" spans="2:23" ht="15.75" thickBot="1" x14ac:dyDescent="0.3">
      <c r="B84" s="258">
        <v>54</v>
      </c>
      <c r="G84">
        <v>64</v>
      </c>
      <c r="H84" s="54" t="s">
        <v>160</v>
      </c>
      <c r="I84" s="247">
        <v>58</v>
      </c>
      <c r="J84" s="147" t="s">
        <v>161</v>
      </c>
      <c r="K84" s="147">
        <v>800</v>
      </c>
      <c r="L84" s="244">
        <f t="shared" si="24"/>
        <v>176</v>
      </c>
      <c r="M84" s="244">
        <f t="shared" si="25"/>
        <v>232</v>
      </c>
      <c r="N84" s="244">
        <f t="shared" si="26"/>
        <v>213</v>
      </c>
      <c r="O84" s="210">
        <v>176232213</v>
      </c>
      <c r="P84" s="54" t="s">
        <v>162</v>
      </c>
      <c r="Q84" s="54" t="s">
        <v>4</v>
      </c>
      <c r="R84" s="248">
        <f t="shared" si="22"/>
        <v>178.28628662911794</v>
      </c>
      <c r="S84" s="248">
        <f t="shared" si="23"/>
        <v>303.04443839249882</v>
      </c>
      <c r="V84" s="250"/>
      <c r="W84" s="250"/>
    </row>
    <row r="85" spans="2:23" ht="15.75" thickBot="1" x14ac:dyDescent="0.3">
      <c r="B85" s="258">
        <v>60</v>
      </c>
      <c r="G85">
        <v>57</v>
      </c>
      <c r="H85" s="48" t="s">
        <v>140</v>
      </c>
      <c r="I85" s="247">
        <v>202</v>
      </c>
      <c r="J85" s="141" t="s">
        <v>141</v>
      </c>
      <c r="K85" s="141">
        <v>2800</v>
      </c>
      <c r="L85" s="244">
        <v>175</v>
      </c>
      <c r="M85" s="244">
        <v>220</v>
      </c>
      <c r="N85" s="244">
        <v>225</v>
      </c>
      <c r="O85" s="207">
        <v>180217223</v>
      </c>
      <c r="P85" s="48" t="s">
        <v>142</v>
      </c>
      <c r="Q85" s="48" t="s">
        <v>4</v>
      </c>
      <c r="R85" s="248">
        <f t="shared" si="22"/>
        <v>181.7168126508937</v>
      </c>
      <c r="S85" s="248">
        <f t="shared" si="23"/>
        <v>301.13924312516957</v>
      </c>
      <c r="V85" s="250"/>
      <c r="W85" s="250"/>
    </row>
    <row r="86" spans="2:23" ht="15.75" thickBot="1" x14ac:dyDescent="0.3">
      <c r="B86" s="258">
        <v>83</v>
      </c>
      <c r="G86">
        <v>67</v>
      </c>
      <c r="H86" s="56" t="s">
        <v>167</v>
      </c>
      <c r="I86" s="247">
        <v>11</v>
      </c>
      <c r="J86" s="149" t="s">
        <v>168</v>
      </c>
      <c r="K86" s="149">
        <v>1200</v>
      </c>
      <c r="L86" s="244">
        <f t="shared" si="24"/>
        <v>56</v>
      </c>
      <c r="M86" s="244">
        <f t="shared" si="25"/>
        <v>199</v>
      </c>
      <c r="N86" s="244">
        <f t="shared" si="26"/>
        <v>175</v>
      </c>
      <c r="O86" s="211">
        <v>56199175</v>
      </c>
      <c r="P86" s="56" t="s">
        <v>169</v>
      </c>
      <c r="Q86" s="56" t="s">
        <v>4</v>
      </c>
      <c r="R86" s="248">
        <f t="shared" si="22"/>
        <v>179.0111728356641</v>
      </c>
      <c r="S86" s="248">
        <f t="shared" si="23"/>
        <v>296.11102027470201</v>
      </c>
      <c r="V86" s="250"/>
      <c r="W86" s="250"/>
    </row>
    <row r="87" spans="2:23" ht="15.75" thickBot="1" x14ac:dyDescent="0.3">
      <c r="B87" s="258">
        <v>38</v>
      </c>
      <c r="G87">
        <v>106</v>
      </c>
      <c r="H87" s="89" t="s">
        <v>215</v>
      </c>
      <c r="I87" s="246"/>
      <c r="J87" s="180" t="s">
        <v>265</v>
      </c>
      <c r="K87" s="180"/>
      <c r="L87" s="244">
        <f t="shared" si="24"/>
        <v>208</v>
      </c>
      <c r="M87" s="244">
        <f t="shared" si="25"/>
        <v>219</v>
      </c>
      <c r="N87" s="244">
        <f t="shared" si="26"/>
        <v>222</v>
      </c>
      <c r="O87" s="222">
        <v>208219222</v>
      </c>
      <c r="P87" s="89" t="s">
        <v>266</v>
      </c>
      <c r="Q87" s="89" t="s">
        <v>4</v>
      </c>
      <c r="R87" s="248">
        <f t="shared" si="22"/>
        <v>180.56023925549059</v>
      </c>
      <c r="S87" s="248">
        <f t="shared" si="23"/>
        <v>297.01527606968301</v>
      </c>
      <c r="V87" s="250"/>
      <c r="W87" s="250"/>
    </row>
    <row r="88" spans="2:23" ht="15.75" thickBot="1" x14ac:dyDescent="0.3">
      <c r="B88" s="258">
        <v>203</v>
      </c>
      <c r="G88">
        <v>73</v>
      </c>
      <c r="H88" s="61" t="s">
        <v>185</v>
      </c>
      <c r="I88" s="247">
        <v>99</v>
      </c>
      <c r="J88" s="154" t="s">
        <v>186</v>
      </c>
      <c r="K88" s="154">
        <v>0</v>
      </c>
      <c r="L88" s="244">
        <v>0</v>
      </c>
      <c r="M88" s="244">
        <v>150</v>
      </c>
      <c r="N88" s="244">
        <v>84</v>
      </c>
      <c r="O88" s="154" t="s">
        <v>187</v>
      </c>
      <c r="P88" s="61">
        <v>9654</v>
      </c>
      <c r="Q88" s="61" t="s">
        <v>4</v>
      </c>
      <c r="R88" s="248">
        <f t="shared" si="22"/>
        <v>183.07102446864715</v>
      </c>
      <c r="S88" s="248">
        <f t="shared" si="23"/>
        <v>282.51390314239404</v>
      </c>
      <c r="V88" s="250"/>
      <c r="W88" s="250"/>
    </row>
    <row r="89" spans="2:23" ht="15.75" thickBot="1" x14ac:dyDescent="0.3">
      <c r="B89" s="258">
        <v>204</v>
      </c>
      <c r="G89">
        <v>9</v>
      </c>
      <c r="H89" s="11" t="s">
        <v>25</v>
      </c>
      <c r="I89" s="247">
        <v>18</v>
      </c>
      <c r="J89" s="107" t="s">
        <v>26</v>
      </c>
      <c r="K89" s="107">
        <v>8000</v>
      </c>
      <c r="L89" s="244">
        <v>30</v>
      </c>
      <c r="M89" s="244">
        <v>30</v>
      </c>
      <c r="N89" s="244">
        <v>30</v>
      </c>
      <c r="O89" s="107" t="s">
        <v>27</v>
      </c>
      <c r="P89" s="12">
        <v>252525</v>
      </c>
      <c r="Q89" s="11" t="s">
        <v>4</v>
      </c>
      <c r="R89" s="248">
        <f t="shared" si="22"/>
        <v>183.66001197865583</v>
      </c>
      <c r="S89" s="248">
        <f t="shared" si="23"/>
        <v>310.74868639102885</v>
      </c>
      <c r="V89" s="250"/>
      <c r="W89" s="250"/>
    </row>
    <row r="90" spans="2:23" ht="15.75" thickBot="1" x14ac:dyDescent="0.3">
      <c r="B90" s="258">
        <v>79</v>
      </c>
      <c r="G90">
        <v>103</v>
      </c>
      <c r="H90" s="86" t="s">
        <v>215</v>
      </c>
      <c r="I90" s="246"/>
      <c r="J90" s="177" t="s">
        <v>259</v>
      </c>
      <c r="K90" s="177"/>
      <c r="L90" s="244">
        <f t="shared" ref="L90:L102" si="27">HEX2DEC(LEFT(P90,2))</f>
        <v>0</v>
      </c>
      <c r="M90" s="244">
        <f t="shared" ref="M90:M102" si="28">HEX2DEC(MID(P90,3,2))</f>
        <v>135</v>
      </c>
      <c r="N90" s="244">
        <f t="shared" ref="N90:N102" si="29">HEX2DEC(RIGHT(P90,2))</f>
        <v>110</v>
      </c>
      <c r="O90" s="220">
        <v>135110</v>
      </c>
      <c r="P90" s="86" t="s">
        <v>260</v>
      </c>
      <c r="Q90" s="86" t="s">
        <v>4</v>
      </c>
      <c r="R90" s="248">
        <f t="shared" si="22"/>
        <v>185.75790696495264</v>
      </c>
      <c r="S90" s="248">
        <f t="shared" si="23"/>
        <v>286.00996349559222</v>
      </c>
      <c r="V90" s="250"/>
      <c r="W90" s="250"/>
    </row>
    <row r="91" spans="2:23" ht="15.75" thickBot="1" x14ac:dyDescent="0.3">
      <c r="B91" s="258"/>
      <c r="G91">
        <v>79</v>
      </c>
      <c r="H91" s="65" t="s">
        <v>199</v>
      </c>
      <c r="I91" s="247">
        <v>49</v>
      </c>
      <c r="J91" s="158" t="s">
        <v>200</v>
      </c>
      <c r="K91" s="158">
        <v>0</v>
      </c>
      <c r="L91" s="244">
        <f t="shared" si="27"/>
        <v>0</v>
      </c>
      <c r="M91" s="244">
        <f t="shared" si="28"/>
        <v>172</v>
      </c>
      <c r="N91" s="244">
        <f t="shared" si="29"/>
        <v>74</v>
      </c>
      <c r="O91" s="158" t="s">
        <v>201</v>
      </c>
      <c r="P91" s="66" t="s">
        <v>202</v>
      </c>
      <c r="Q91" s="65" t="s">
        <v>4</v>
      </c>
      <c r="R91" s="248">
        <f t="shared" si="22"/>
        <v>186.57706182701023</v>
      </c>
      <c r="S91" s="248">
        <f t="shared" si="23"/>
        <v>292.00957149338444</v>
      </c>
      <c r="V91" s="250"/>
      <c r="W91" s="250"/>
    </row>
    <row r="92" spans="2:23" ht="15.75" thickBot="1" x14ac:dyDescent="0.3">
      <c r="G92">
        <v>12</v>
      </c>
      <c r="H92" s="13" t="s">
        <v>28</v>
      </c>
      <c r="I92" s="247">
        <v>208</v>
      </c>
      <c r="J92" s="109" t="s">
        <v>29</v>
      </c>
      <c r="K92" s="109">
        <v>700</v>
      </c>
      <c r="L92" s="244">
        <f t="shared" si="27"/>
        <v>241</v>
      </c>
      <c r="M92" s="244">
        <f t="shared" si="28"/>
        <v>229</v>
      </c>
      <c r="N92" s="244">
        <f t="shared" si="29"/>
        <v>216</v>
      </c>
      <c r="O92" s="191">
        <v>241229216</v>
      </c>
      <c r="P92" s="13" t="s">
        <v>30</v>
      </c>
      <c r="Q92" s="13" t="s">
        <v>4</v>
      </c>
      <c r="R92" s="248">
        <f t="shared" si="22"/>
        <v>188.71406942779862</v>
      </c>
      <c r="S92" s="248">
        <f t="shared" si="23"/>
        <v>314.18980628753695</v>
      </c>
      <c r="V92" s="250"/>
      <c r="W92" s="250"/>
    </row>
    <row r="93" spans="2:23" ht="15.75" thickBot="1" x14ac:dyDescent="0.3">
      <c r="G93">
        <v>83</v>
      </c>
      <c r="H93" s="70" t="s">
        <v>327</v>
      </c>
      <c r="I93" s="247">
        <v>300</v>
      </c>
      <c r="J93" s="162" t="s">
        <v>216</v>
      </c>
      <c r="K93" s="162">
        <v>0</v>
      </c>
      <c r="L93" s="244">
        <f t="shared" si="27"/>
        <v>34</v>
      </c>
      <c r="M93" s="244">
        <f t="shared" si="28"/>
        <v>85</v>
      </c>
      <c r="N93" s="244">
        <f t="shared" si="29"/>
        <v>183</v>
      </c>
      <c r="O93" s="162" t="s">
        <v>217</v>
      </c>
      <c r="P93" s="70" t="s">
        <v>325</v>
      </c>
      <c r="Q93" s="70" t="s">
        <v>4</v>
      </c>
      <c r="R93" s="248">
        <f t="shared" si="22"/>
        <v>190.7065809037538</v>
      </c>
      <c r="S93" s="248">
        <f t="shared" si="23"/>
        <v>304.67691327761446</v>
      </c>
      <c r="V93" s="250"/>
      <c r="W93" s="250"/>
    </row>
    <row r="94" spans="2:23" ht="15.75" thickBot="1" x14ac:dyDescent="0.3">
      <c r="G94">
        <v>113</v>
      </c>
      <c r="H94" s="94" t="s">
        <v>215</v>
      </c>
      <c r="I94" s="246"/>
      <c r="J94" s="185" t="s">
        <v>278</v>
      </c>
      <c r="K94" s="185"/>
      <c r="L94" s="244">
        <f t="shared" si="27"/>
        <v>0</v>
      </c>
      <c r="M94" s="244">
        <f t="shared" si="28"/>
        <v>109</v>
      </c>
      <c r="N94" s="244">
        <f t="shared" si="29"/>
        <v>139</v>
      </c>
      <c r="O94" s="185" t="s">
        <v>279</v>
      </c>
      <c r="P94" s="94" t="s">
        <v>280</v>
      </c>
      <c r="Q94" s="94" t="s">
        <v>4</v>
      </c>
      <c r="R94" s="248">
        <f t="shared" si="22"/>
        <v>194.89740891043164</v>
      </c>
      <c r="S94" s="248">
        <f t="shared" si="23"/>
        <v>302.23857828398576</v>
      </c>
      <c r="V94" s="250"/>
      <c r="W94" s="250"/>
    </row>
    <row r="95" spans="2:23" ht="15.75" thickBot="1" x14ac:dyDescent="0.3">
      <c r="G95">
        <v>68</v>
      </c>
      <c r="H95" s="57" t="s">
        <v>170</v>
      </c>
      <c r="I95" s="247">
        <v>91</v>
      </c>
      <c r="J95" s="150" t="s">
        <v>171</v>
      </c>
      <c r="K95" s="150">
        <v>50</v>
      </c>
      <c r="L95" s="244">
        <f t="shared" si="27"/>
        <v>0</v>
      </c>
      <c r="M95" s="244">
        <f t="shared" si="28"/>
        <v>150</v>
      </c>
      <c r="N95" s="244">
        <f t="shared" si="29"/>
        <v>138</v>
      </c>
      <c r="O95" s="150" t="s">
        <v>172</v>
      </c>
      <c r="P95" s="57" t="s">
        <v>173</v>
      </c>
      <c r="Q95" s="57" t="s">
        <v>4</v>
      </c>
      <c r="R95" s="248">
        <f t="shared" si="22"/>
        <v>195.06665527454967</v>
      </c>
      <c r="S95" s="248">
        <f t="shared" si="23"/>
        <v>302.98653409640173</v>
      </c>
      <c r="V95" s="250"/>
      <c r="W95" s="250"/>
    </row>
    <row r="96" spans="2:23" ht="15.75" thickBot="1" x14ac:dyDescent="0.3">
      <c r="G96">
        <v>59</v>
      </c>
      <c r="H96" s="50" t="s">
        <v>146</v>
      </c>
      <c r="I96" s="247">
        <v>9</v>
      </c>
      <c r="J96" s="143" t="s">
        <v>147</v>
      </c>
      <c r="K96" s="143">
        <v>5000</v>
      </c>
      <c r="L96" s="244">
        <f t="shared" si="27"/>
        <v>39</v>
      </c>
      <c r="M96" s="244">
        <f t="shared" si="28"/>
        <v>138</v>
      </c>
      <c r="N96" s="244">
        <f t="shared" si="29"/>
        <v>203</v>
      </c>
      <c r="O96" s="209">
        <v>39138203</v>
      </c>
      <c r="P96" s="50" t="s">
        <v>148</v>
      </c>
      <c r="Q96" s="50" t="s">
        <v>4</v>
      </c>
      <c r="R96" s="248">
        <f t="shared" si="22"/>
        <v>195.55306185278715</v>
      </c>
      <c r="S96" s="248">
        <f t="shared" si="23"/>
        <v>309.1255560043524</v>
      </c>
      <c r="V96" s="250"/>
      <c r="W96" s="250"/>
    </row>
    <row r="97" spans="7:23" ht="15.75" thickBot="1" x14ac:dyDescent="0.3">
      <c r="G97">
        <v>112</v>
      </c>
      <c r="H97" s="93" t="s">
        <v>335</v>
      </c>
      <c r="I97" s="249">
        <v>310</v>
      </c>
      <c r="J97" s="184" t="s">
        <v>276</v>
      </c>
      <c r="K97" s="184">
        <v>0</v>
      </c>
      <c r="L97" s="244">
        <f t="shared" si="27"/>
        <v>124</v>
      </c>
      <c r="M97" s="244">
        <f t="shared" si="28"/>
        <v>210</v>
      </c>
      <c r="N97" s="244">
        <f t="shared" si="29"/>
        <v>242</v>
      </c>
      <c r="O97" s="225">
        <v>124210242</v>
      </c>
      <c r="P97" s="93" t="s">
        <v>277</v>
      </c>
      <c r="Q97" s="93" t="s">
        <v>4</v>
      </c>
      <c r="R97" s="248">
        <f t="shared" si="22"/>
        <v>200.16742991805634</v>
      </c>
      <c r="S97" s="248">
        <f t="shared" si="23"/>
        <v>328.37589812400972</v>
      </c>
      <c r="V97" s="250"/>
      <c r="W97" s="250"/>
    </row>
    <row r="98" spans="7:23" ht="15.75" thickBot="1" x14ac:dyDescent="0.3">
      <c r="G98">
        <v>125</v>
      </c>
      <c r="H98" s="255"/>
      <c r="I98" s="249">
        <v>404</v>
      </c>
      <c r="J98" s="236" t="s">
        <v>304</v>
      </c>
      <c r="K98" s="236">
        <v>0</v>
      </c>
      <c r="L98" s="244">
        <f t="shared" si="27"/>
        <v>84</v>
      </c>
      <c r="M98" s="244">
        <f t="shared" si="28"/>
        <v>205</v>
      </c>
      <c r="N98" s="244">
        <f t="shared" si="29"/>
        <v>227</v>
      </c>
      <c r="O98" s="236" t="s">
        <v>305</v>
      </c>
      <c r="P98" s="236" t="s">
        <v>306</v>
      </c>
      <c r="Q98" s="236" t="s">
        <v>4</v>
      </c>
      <c r="R98" s="248">
        <f t="shared" si="22"/>
        <v>201.13925524372411</v>
      </c>
      <c r="S98" s="248">
        <f t="shared" si="23"/>
        <v>331.50800388621843</v>
      </c>
      <c r="V98" s="250"/>
      <c r="W98" s="250"/>
    </row>
    <row r="99" spans="7:23" ht="15.75" thickBot="1" x14ac:dyDescent="0.3">
      <c r="G99">
        <v>60</v>
      </c>
      <c r="H99" s="51" t="s">
        <v>149</v>
      </c>
      <c r="I99" s="247">
        <v>200</v>
      </c>
      <c r="J99" s="144" t="s">
        <v>150</v>
      </c>
      <c r="K99" s="144">
        <v>2000</v>
      </c>
      <c r="L99" s="244">
        <f t="shared" si="27"/>
        <v>0</v>
      </c>
      <c r="M99" s="244">
        <f t="shared" si="28"/>
        <v>102</v>
      </c>
      <c r="N99" s="244">
        <f t="shared" si="29"/>
        <v>179</v>
      </c>
      <c r="O99" s="144" t="s">
        <v>151</v>
      </c>
      <c r="P99" s="51" t="s">
        <v>152</v>
      </c>
      <c r="Q99" s="51" t="s">
        <v>4</v>
      </c>
      <c r="R99" s="248">
        <f t="shared" ref="R99:R125" si="30">SQRT(($U$2-L99)^2+($V$2-M99)^2+($W$2-N99)^2)</f>
        <v>213.27447104611466</v>
      </c>
      <c r="S99" s="248">
        <f t="shared" ref="S99:S125" si="31">SQRT((2+(($U$2+L99)/2)/256)*($U$2-L99)^2 + 4*($V$2-M99)^2 + (2+(255-(($U$2+L99)/2))/256)*($W$2-N99)^2)</f>
        <v>334.03401129694112</v>
      </c>
      <c r="V99" s="250"/>
      <c r="W99" s="250"/>
    </row>
    <row r="100" spans="7:23" ht="15.75" thickBot="1" x14ac:dyDescent="0.3">
      <c r="G100">
        <v>126</v>
      </c>
      <c r="H100" s="255"/>
      <c r="I100" s="249">
        <v>405</v>
      </c>
      <c r="J100" s="237" t="s">
        <v>307</v>
      </c>
      <c r="K100" s="237">
        <v>0</v>
      </c>
      <c r="L100" s="244">
        <f t="shared" si="27"/>
        <v>0</v>
      </c>
      <c r="M100" s="244">
        <f t="shared" si="28"/>
        <v>171</v>
      </c>
      <c r="N100" s="244">
        <f t="shared" si="29"/>
        <v>178</v>
      </c>
      <c r="O100" s="237" t="s">
        <v>308</v>
      </c>
      <c r="P100" s="237" t="s">
        <v>309</v>
      </c>
      <c r="Q100" s="237" t="s">
        <v>4</v>
      </c>
      <c r="R100" s="248">
        <f t="shared" si="30"/>
        <v>215.81936891762055</v>
      </c>
      <c r="S100" s="248">
        <f t="shared" si="31"/>
        <v>340.94573775565812</v>
      </c>
      <c r="V100" s="250"/>
      <c r="W100" s="250"/>
    </row>
    <row r="101" spans="7:23" ht="15.75" thickBot="1" x14ac:dyDescent="0.3">
      <c r="G101">
        <v>100</v>
      </c>
      <c r="H101" s="83" t="s">
        <v>215</v>
      </c>
      <c r="I101" s="246"/>
      <c r="J101" s="174" t="s">
        <v>252</v>
      </c>
      <c r="K101" s="174"/>
      <c r="L101" s="244">
        <f t="shared" si="27"/>
        <v>0</v>
      </c>
      <c r="M101" s="244">
        <f t="shared" si="28"/>
        <v>105</v>
      </c>
      <c r="N101" s="244">
        <f t="shared" si="29"/>
        <v>192</v>
      </c>
      <c r="O101" s="219">
        <v>12104179</v>
      </c>
      <c r="P101" s="83" t="s">
        <v>253</v>
      </c>
      <c r="Q101" s="83" t="s">
        <v>4</v>
      </c>
      <c r="R101" s="248">
        <f t="shared" si="30"/>
        <v>219.94090115301429</v>
      </c>
      <c r="S101" s="248">
        <f t="shared" si="31"/>
        <v>344.99143444982803</v>
      </c>
    </row>
    <row r="102" spans="7:23" ht="15.75" thickBot="1" x14ac:dyDescent="0.3">
      <c r="G102">
        <v>1</v>
      </c>
      <c r="H102" s="2" t="s">
        <v>0</v>
      </c>
      <c r="I102" s="247">
        <v>1</v>
      </c>
      <c r="J102" s="101" t="s">
        <v>1</v>
      </c>
      <c r="K102" s="101">
        <v>8000</v>
      </c>
      <c r="L102" s="244">
        <f t="shared" si="27"/>
        <v>247</v>
      </c>
      <c r="M102" s="244">
        <f t="shared" si="28"/>
        <v>247</v>
      </c>
      <c r="N102" s="244">
        <f t="shared" si="29"/>
        <v>242</v>
      </c>
      <c r="O102" s="101" t="s">
        <v>2</v>
      </c>
      <c r="P102" s="2" t="s">
        <v>3</v>
      </c>
      <c r="Q102" s="2" t="s">
        <v>4</v>
      </c>
      <c r="R102" s="248">
        <f t="shared" si="30"/>
        <v>220.64677654568172</v>
      </c>
      <c r="S102" s="248">
        <f t="shared" si="31"/>
        <v>366.88507758731481</v>
      </c>
    </row>
    <row r="103" spans="7:23" ht="15.75" thickBot="1" x14ac:dyDescent="0.3">
      <c r="G103">
        <v>97</v>
      </c>
      <c r="H103" s="81" t="s">
        <v>331</v>
      </c>
      <c r="I103" s="247">
        <v>999</v>
      </c>
      <c r="J103" s="172" t="s">
        <v>332</v>
      </c>
      <c r="K103" s="172">
        <v>0</v>
      </c>
      <c r="L103" s="244">
        <v>0</v>
      </c>
      <c r="M103" s="244">
        <v>240</v>
      </c>
      <c r="N103" s="244">
        <v>0</v>
      </c>
      <c r="O103" s="218"/>
      <c r="P103" s="81"/>
      <c r="Q103" s="81"/>
      <c r="R103" s="248">
        <f t="shared" si="30"/>
        <v>224.25654951416692</v>
      </c>
      <c r="S103" s="248">
        <f t="shared" si="31"/>
        <v>375.18107607360741</v>
      </c>
    </row>
    <row r="104" spans="7:23" ht="15.75" thickBot="1" x14ac:dyDescent="0.3">
      <c r="G104">
        <v>65</v>
      </c>
      <c r="H104" s="55" t="s">
        <v>163</v>
      </c>
      <c r="I104" s="247">
        <v>62</v>
      </c>
      <c r="J104" s="148" t="s">
        <v>164</v>
      </c>
      <c r="K104" s="148">
        <v>700</v>
      </c>
      <c r="L104" s="244">
        <f t="shared" ref="L104:L124" si="32">HEX2DEC(LEFT(P104,2))</f>
        <v>0</v>
      </c>
      <c r="M104" s="244">
        <f t="shared" ref="M104:M124" si="33">HEX2DEC(MID(P104,3,2))</f>
        <v>143</v>
      </c>
      <c r="N104" s="244">
        <f t="shared" ref="N104:N124" si="34">HEX2DEC(RIGHT(P104,2))</f>
        <v>204</v>
      </c>
      <c r="O104" s="148" t="s">
        <v>165</v>
      </c>
      <c r="P104" s="55" t="s">
        <v>166</v>
      </c>
      <c r="Q104" s="55" t="s">
        <v>4</v>
      </c>
      <c r="R104" s="248">
        <f t="shared" si="30"/>
        <v>226.36695871968595</v>
      </c>
      <c r="S104" s="248">
        <f t="shared" si="31"/>
        <v>355.37094945809793</v>
      </c>
    </row>
    <row r="105" spans="7:23" ht="15.75" thickBot="1" x14ac:dyDescent="0.3">
      <c r="G105">
        <v>11</v>
      </c>
      <c r="H105" s="3"/>
      <c r="I105" s="246"/>
      <c r="J105" s="108"/>
      <c r="K105" s="108"/>
      <c r="L105" s="244">
        <f t="shared" si="32"/>
        <v>0</v>
      </c>
      <c r="M105" s="244">
        <f t="shared" si="33"/>
        <v>0</v>
      </c>
      <c r="N105" s="244">
        <f t="shared" si="34"/>
        <v>0</v>
      </c>
      <c r="O105" s="108"/>
      <c r="P105" s="3"/>
      <c r="Q105" s="3"/>
      <c r="R105" s="248">
        <f t="shared" si="30"/>
        <v>231.62685509240936</v>
      </c>
      <c r="S105" s="248">
        <f t="shared" si="31"/>
        <v>392.68414768583415</v>
      </c>
    </row>
    <row r="106" spans="7:23" ht="15.75" thickBot="1" x14ac:dyDescent="0.3">
      <c r="G106">
        <v>20</v>
      </c>
      <c r="H106" s="3"/>
      <c r="I106" s="246"/>
      <c r="J106" s="108"/>
      <c r="K106" s="108"/>
      <c r="L106" s="244">
        <f t="shared" si="32"/>
        <v>0</v>
      </c>
      <c r="M106" s="244">
        <f t="shared" si="33"/>
        <v>0</v>
      </c>
      <c r="N106" s="244">
        <f t="shared" si="34"/>
        <v>0</v>
      </c>
      <c r="O106" s="108"/>
      <c r="P106" s="3"/>
      <c r="Q106" s="3"/>
      <c r="R106" s="248">
        <f t="shared" si="30"/>
        <v>231.62685509240936</v>
      </c>
      <c r="S106" s="248">
        <f t="shared" si="31"/>
        <v>392.68414768583415</v>
      </c>
    </row>
    <row r="107" spans="7:23" ht="15.75" thickBot="1" x14ac:dyDescent="0.3">
      <c r="G107">
        <v>24</v>
      </c>
      <c r="H107" s="3"/>
      <c r="I107" s="246"/>
      <c r="J107" s="108"/>
      <c r="K107" s="108"/>
      <c r="L107" s="244">
        <f t="shared" si="32"/>
        <v>0</v>
      </c>
      <c r="M107" s="244">
        <f t="shared" si="33"/>
        <v>0</v>
      </c>
      <c r="N107" s="244">
        <f t="shared" si="34"/>
        <v>0</v>
      </c>
      <c r="O107" s="108"/>
      <c r="P107" s="3"/>
      <c r="Q107" s="3"/>
      <c r="R107" s="248">
        <f t="shared" si="30"/>
        <v>231.62685509240936</v>
      </c>
      <c r="S107" s="248">
        <f t="shared" si="31"/>
        <v>392.68414768583415</v>
      </c>
    </row>
    <row r="108" spans="7:23" ht="15.75" thickBot="1" x14ac:dyDescent="0.3">
      <c r="G108">
        <v>33</v>
      </c>
      <c r="H108" s="3"/>
      <c r="I108" s="246"/>
      <c r="J108" s="108"/>
      <c r="K108" s="108"/>
      <c r="L108" s="244">
        <f t="shared" si="32"/>
        <v>0</v>
      </c>
      <c r="M108" s="244">
        <f t="shared" si="33"/>
        <v>0</v>
      </c>
      <c r="N108" s="244">
        <f t="shared" si="34"/>
        <v>0</v>
      </c>
      <c r="O108" s="108"/>
      <c r="P108" s="3"/>
      <c r="Q108" s="3"/>
      <c r="R108" s="248">
        <f t="shared" si="30"/>
        <v>231.62685509240936</v>
      </c>
      <c r="S108" s="248">
        <f t="shared" si="31"/>
        <v>392.68414768583415</v>
      </c>
    </row>
    <row r="109" spans="7:23" ht="15.75" thickBot="1" x14ac:dyDescent="0.3">
      <c r="G109">
        <v>39</v>
      </c>
      <c r="H109" s="3"/>
      <c r="I109" s="246"/>
      <c r="J109" s="108"/>
      <c r="K109" s="108"/>
      <c r="L109" s="244">
        <f t="shared" si="32"/>
        <v>0</v>
      </c>
      <c r="M109" s="244">
        <f t="shared" si="33"/>
        <v>0</v>
      </c>
      <c r="N109" s="244">
        <f t="shared" si="34"/>
        <v>0</v>
      </c>
      <c r="O109" s="108"/>
      <c r="P109" s="3"/>
      <c r="Q109" s="3"/>
      <c r="R109" s="248">
        <f t="shared" si="30"/>
        <v>231.62685509240936</v>
      </c>
      <c r="S109" s="248">
        <f t="shared" si="31"/>
        <v>392.68414768583415</v>
      </c>
    </row>
    <row r="110" spans="7:23" ht="15.75" thickBot="1" x14ac:dyDescent="0.3">
      <c r="G110">
        <v>44</v>
      </c>
      <c r="H110" s="3"/>
      <c r="I110" s="246"/>
      <c r="J110" s="108"/>
      <c r="K110" s="108"/>
      <c r="L110" s="244">
        <f t="shared" si="32"/>
        <v>0</v>
      </c>
      <c r="M110" s="244">
        <f t="shared" si="33"/>
        <v>0</v>
      </c>
      <c r="N110" s="244">
        <f t="shared" si="34"/>
        <v>0</v>
      </c>
      <c r="O110" s="108"/>
      <c r="P110" s="3"/>
      <c r="Q110" s="3"/>
      <c r="R110" s="248">
        <f t="shared" si="30"/>
        <v>231.62685509240936</v>
      </c>
      <c r="S110" s="248">
        <f t="shared" si="31"/>
        <v>392.68414768583415</v>
      </c>
    </row>
    <row r="111" spans="7:23" ht="15.75" thickBot="1" x14ac:dyDescent="0.3">
      <c r="G111">
        <v>49</v>
      </c>
      <c r="H111" s="3"/>
      <c r="I111" s="246"/>
      <c r="J111" s="108"/>
      <c r="K111" s="108"/>
      <c r="L111" s="244">
        <f t="shared" si="32"/>
        <v>0</v>
      </c>
      <c r="M111" s="244">
        <f t="shared" si="33"/>
        <v>0</v>
      </c>
      <c r="N111" s="244">
        <f t="shared" si="34"/>
        <v>0</v>
      </c>
      <c r="O111" s="108"/>
      <c r="P111" s="3"/>
      <c r="Q111" s="3"/>
      <c r="R111" s="248">
        <f t="shared" si="30"/>
        <v>231.62685509240936</v>
      </c>
      <c r="S111" s="248">
        <f t="shared" si="31"/>
        <v>392.68414768583415</v>
      </c>
    </row>
    <row r="112" spans="7:23" ht="15.75" thickBot="1" x14ac:dyDescent="0.3">
      <c r="G112">
        <v>53</v>
      </c>
      <c r="H112" s="3"/>
      <c r="I112" s="246"/>
      <c r="J112" s="108"/>
      <c r="K112" s="108"/>
      <c r="L112" s="244">
        <f t="shared" si="32"/>
        <v>0</v>
      </c>
      <c r="M112" s="244">
        <f t="shared" si="33"/>
        <v>0</v>
      </c>
      <c r="N112" s="244">
        <f t="shared" si="34"/>
        <v>0</v>
      </c>
      <c r="O112" s="108"/>
      <c r="P112" s="3"/>
      <c r="Q112" s="3"/>
      <c r="R112" s="248">
        <f t="shared" si="30"/>
        <v>231.62685509240936</v>
      </c>
      <c r="S112" s="248">
        <f t="shared" si="31"/>
        <v>392.68414768583415</v>
      </c>
    </row>
    <row r="113" spans="7:19" ht="15.75" thickBot="1" x14ac:dyDescent="0.3">
      <c r="G113">
        <v>56</v>
      </c>
      <c r="H113" s="3"/>
      <c r="I113" s="246"/>
      <c r="J113" s="108"/>
      <c r="K113" s="108"/>
      <c r="L113" s="244">
        <f t="shared" si="32"/>
        <v>0</v>
      </c>
      <c r="M113" s="244">
        <f t="shared" si="33"/>
        <v>0</v>
      </c>
      <c r="N113" s="244">
        <f t="shared" si="34"/>
        <v>0</v>
      </c>
      <c r="O113" s="108"/>
      <c r="P113" s="3"/>
      <c r="Q113" s="3"/>
      <c r="R113" s="248">
        <f t="shared" si="30"/>
        <v>231.62685509240936</v>
      </c>
      <c r="S113" s="248">
        <f t="shared" si="31"/>
        <v>392.68414768583415</v>
      </c>
    </row>
    <row r="114" spans="7:19" ht="15.75" thickBot="1" x14ac:dyDescent="0.3">
      <c r="G114">
        <v>63</v>
      </c>
      <c r="H114" s="3"/>
      <c r="I114" s="246"/>
      <c r="J114" s="108"/>
      <c r="K114" s="108"/>
      <c r="L114" s="244">
        <f t="shared" si="32"/>
        <v>0</v>
      </c>
      <c r="M114" s="244">
        <f t="shared" si="33"/>
        <v>0</v>
      </c>
      <c r="N114" s="244">
        <f t="shared" si="34"/>
        <v>0</v>
      </c>
      <c r="O114" s="108"/>
      <c r="P114" s="3"/>
      <c r="Q114" s="3"/>
      <c r="R114" s="248">
        <f t="shared" si="30"/>
        <v>231.62685509240936</v>
      </c>
      <c r="S114" s="248">
        <f t="shared" si="31"/>
        <v>392.68414768583415</v>
      </c>
    </row>
    <row r="115" spans="7:19" ht="15.75" thickBot="1" x14ac:dyDescent="0.3">
      <c r="G115">
        <v>66</v>
      </c>
      <c r="H115" s="3"/>
      <c r="I115" s="246"/>
      <c r="J115" s="108"/>
      <c r="K115" s="108"/>
      <c r="L115" s="244">
        <f t="shared" si="32"/>
        <v>0</v>
      </c>
      <c r="M115" s="244">
        <f t="shared" si="33"/>
        <v>0</v>
      </c>
      <c r="N115" s="244">
        <f t="shared" si="34"/>
        <v>0</v>
      </c>
      <c r="O115" s="108"/>
      <c r="P115" s="3"/>
      <c r="Q115" s="3"/>
      <c r="R115" s="248">
        <f t="shared" si="30"/>
        <v>231.62685509240936</v>
      </c>
      <c r="S115" s="248">
        <f t="shared" si="31"/>
        <v>392.68414768583415</v>
      </c>
    </row>
    <row r="116" spans="7:19" ht="15.75" thickBot="1" x14ac:dyDescent="0.3">
      <c r="G116">
        <v>69</v>
      </c>
      <c r="H116" s="3"/>
      <c r="I116" s="246"/>
      <c r="J116" s="108"/>
      <c r="K116" s="108"/>
      <c r="L116" s="244">
        <f t="shared" si="32"/>
        <v>0</v>
      </c>
      <c r="M116" s="244">
        <f t="shared" si="33"/>
        <v>0</v>
      </c>
      <c r="N116" s="244">
        <f t="shared" si="34"/>
        <v>0</v>
      </c>
      <c r="O116" s="108"/>
      <c r="P116" s="3"/>
      <c r="Q116" s="3"/>
      <c r="R116" s="248">
        <f t="shared" si="30"/>
        <v>231.62685509240936</v>
      </c>
      <c r="S116" s="248">
        <f t="shared" si="31"/>
        <v>392.68414768583415</v>
      </c>
    </row>
    <row r="117" spans="7:19" ht="15.75" thickBot="1" x14ac:dyDescent="0.3">
      <c r="G117">
        <v>75</v>
      </c>
      <c r="H117" s="3"/>
      <c r="I117" s="246"/>
      <c r="J117" s="108"/>
      <c r="K117" s="108"/>
      <c r="L117" s="244">
        <f t="shared" si="32"/>
        <v>0</v>
      </c>
      <c r="M117" s="244">
        <f t="shared" si="33"/>
        <v>0</v>
      </c>
      <c r="N117" s="244">
        <f t="shared" si="34"/>
        <v>0</v>
      </c>
      <c r="O117" s="108"/>
      <c r="P117" s="3"/>
      <c r="Q117" s="3"/>
      <c r="R117" s="248">
        <f t="shared" si="30"/>
        <v>231.62685509240936</v>
      </c>
      <c r="S117" s="248">
        <f t="shared" si="31"/>
        <v>392.68414768583415</v>
      </c>
    </row>
    <row r="118" spans="7:19" ht="15.75" thickBot="1" x14ac:dyDescent="0.3">
      <c r="G118">
        <v>78</v>
      </c>
      <c r="H118" s="3"/>
      <c r="I118" s="246"/>
      <c r="J118" s="108"/>
      <c r="K118" s="108"/>
      <c r="L118" s="244">
        <f t="shared" si="32"/>
        <v>0</v>
      </c>
      <c r="M118" s="244">
        <f t="shared" si="33"/>
        <v>0</v>
      </c>
      <c r="N118" s="244">
        <f t="shared" si="34"/>
        <v>0</v>
      </c>
      <c r="O118" s="108"/>
      <c r="P118" s="3"/>
      <c r="Q118" s="3"/>
      <c r="R118" s="248">
        <f t="shared" si="30"/>
        <v>231.62685509240936</v>
      </c>
      <c r="S118" s="248">
        <f t="shared" si="31"/>
        <v>392.68414768583415</v>
      </c>
    </row>
    <row r="119" spans="7:19" ht="15.75" thickBot="1" x14ac:dyDescent="0.3">
      <c r="G119">
        <v>84</v>
      </c>
      <c r="H119" s="3"/>
      <c r="I119" s="246"/>
      <c r="J119" s="108"/>
      <c r="K119" s="108"/>
      <c r="L119" s="244">
        <f t="shared" si="32"/>
        <v>0</v>
      </c>
      <c r="M119" s="244">
        <f t="shared" si="33"/>
        <v>0</v>
      </c>
      <c r="N119" s="244">
        <f t="shared" si="34"/>
        <v>0</v>
      </c>
      <c r="O119" s="108"/>
      <c r="P119" s="3"/>
      <c r="Q119" s="3"/>
      <c r="R119" s="248">
        <f t="shared" si="30"/>
        <v>231.62685509240936</v>
      </c>
      <c r="S119" s="248">
        <f t="shared" si="31"/>
        <v>392.68414768583415</v>
      </c>
    </row>
    <row r="120" spans="7:19" ht="15.75" thickBot="1" x14ac:dyDescent="0.3">
      <c r="G120">
        <v>88</v>
      </c>
      <c r="H120" s="3"/>
      <c r="I120" s="246"/>
      <c r="J120" s="108"/>
      <c r="K120" s="108"/>
      <c r="L120" s="244">
        <f t="shared" si="32"/>
        <v>0</v>
      </c>
      <c r="M120" s="244">
        <f t="shared" si="33"/>
        <v>0</v>
      </c>
      <c r="N120" s="244">
        <f t="shared" si="34"/>
        <v>0</v>
      </c>
      <c r="O120" s="108"/>
      <c r="P120" s="3"/>
      <c r="Q120" s="3"/>
      <c r="R120" s="248">
        <f t="shared" si="30"/>
        <v>231.62685509240936</v>
      </c>
      <c r="S120" s="248">
        <f t="shared" si="31"/>
        <v>392.68414768583415</v>
      </c>
    </row>
    <row r="121" spans="7:19" ht="15.75" thickBot="1" x14ac:dyDescent="0.3">
      <c r="G121">
        <v>98</v>
      </c>
      <c r="H121" s="3"/>
      <c r="I121" s="246"/>
      <c r="J121" s="108"/>
      <c r="K121" s="108"/>
      <c r="L121" s="244">
        <f t="shared" si="32"/>
        <v>0</v>
      </c>
      <c r="M121" s="244">
        <f t="shared" si="33"/>
        <v>0</v>
      </c>
      <c r="N121" s="244">
        <f t="shared" si="34"/>
        <v>0</v>
      </c>
      <c r="O121" s="108"/>
      <c r="P121" s="3"/>
      <c r="Q121" s="3"/>
      <c r="R121" s="248">
        <f t="shared" si="30"/>
        <v>231.62685509240936</v>
      </c>
      <c r="S121" s="248">
        <f t="shared" si="31"/>
        <v>392.68414768583415</v>
      </c>
    </row>
    <row r="122" spans="7:19" ht="15.75" thickBot="1" x14ac:dyDescent="0.3">
      <c r="G122">
        <v>110</v>
      </c>
      <c r="H122" s="256"/>
      <c r="I122" s="246"/>
      <c r="J122" s="273"/>
      <c r="K122" s="273"/>
      <c r="L122" s="244">
        <f t="shared" si="32"/>
        <v>0</v>
      </c>
      <c r="M122" s="244">
        <f t="shared" si="33"/>
        <v>0</v>
      </c>
      <c r="N122" s="244">
        <f t="shared" si="34"/>
        <v>0</v>
      </c>
      <c r="O122" s="273"/>
      <c r="P122" s="256"/>
      <c r="Q122" s="256"/>
      <c r="R122" s="248">
        <f t="shared" si="30"/>
        <v>231.62685509240936</v>
      </c>
      <c r="S122" s="248">
        <f t="shared" si="31"/>
        <v>392.68414768583415</v>
      </c>
    </row>
    <row r="123" spans="7:19" ht="15.75" thickBot="1" x14ac:dyDescent="0.3">
      <c r="G123">
        <v>114</v>
      </c>
      <c r="H123" s="256"/>
      <c r="I123" s="246"/>
      <c r="J123" s="108"/>
      <c r="K123" s="108"/>
      <c r="L123" s="244">
        <f t="shared" si="32"/>
        <v>0</v>
      </c>
      <c r="M123" s="244">
        <f t="shared" si="33"/>
        <v>0</v>
      </c>
      <c r="N123" s="244">
        <f t="shared" si="34"/>
        <v>0</v>
      </c>
      <c r="O123" s="108"/>
      <c r="P123" s="3"/>
      <c r="Q123" s="3"/>
      <c r="R123" s="248">
        <f t="shared" si="30"/>
        <v>231.62685509240936</v>
      </c>
      <c r="S123" s="248">
        <f t="shared" si="31"/>
        <v>392.68414768583415</v>
      </c>
    </row>
    <row r="124" spans="7:19" ht="15.75" thickBot="1" x14ac:dyDescent="0.3">
      <c r="G124">
        <v>120</v>
      </c>
      <c r="H124" s="262"/>
      <c r="I124" s="246"/>
      <c r="J124" s="257"/>
      <c r="K124" s="257"/>
      <c r="L124" s="244">
        <f t="shared" si="32"/>
        <v>0</v>
      </c>
      <c r="M124" s="244">
        <f t="shared" si="33"/>
        <v>0</v>
      </c>
      <c r="N124" s="244">
        <f t="shared" si="34"/>
        <v>0</v>
      </c>
      <c r="O124" s="257"/>
      <c r="P124" s="255"/>
      <c r="Q124" s="255"/>
      <c r="R124" s="248">
        <f t="shared" si="30"/>
        <v>231.62685509240936</v>
      </c>
      <c r="S124" s="248">
        <f t="shared" si="31"/>
        <v>392.68414768583415</v>
      </c>
    </row>
    <row r="125" spans="7:19" ht="15.75" thickBot="1" x14ac:dyDescent="0.3">
      <c r="G125">
        <v>96</v>
      </c>
      <c r="H125" s="274" t="s">
        <v>334</v>
      </c>
      <c r="I125" s="247">
        <v>998</v>
      </c>
      <c r="J125" s="172" t="s">
        <v>333</v>
      </c>
      <c r="K125" s="172">
        <v>4000</v>
      </c>
      <c r="L125" s="244">
        <v>0</v>
      </c>
      <c r="M125" s="244">
        <v>255</v>
      </c>
      <c r="N125" s="244">
        <v>0</v>
      </c>
      <c r="O125" s="218"/>
      <c r="P125" s="81"/>
      <c r="Q125" s="81"/>
      <c r="R125" s="248">
        <f t="shared" si="30"/>
        <v>232.17665688005761</v>
      </c>
      <c r="S125" s="248">
        <f t="shared" si="31"/>
        <v>393.98076075330124</v>
      </c>
    </row>
    <row r="126" spans="7:19" ht="15.75" thickBot="1" x14ac:dyDescent="0.3">
      <c r="G126">
        <v>2</v>
      </c>
      <c r="H126" s="267"/>
      <c r="I126" s="247"/>
      <c r="J126" s="101"/>
      <c r="K126" s="101"/>
      <c r="L126" s="244"/>
      <c r="M126" s="244"/>
      <c r="N126" s="244"/>
      <c r="O126" s="101"/>
      <c r="P126" s="2"/>
      <c r="Q126" s="2"/>
      <c r="R126" s="248"/>
      <c r="S126" s="248"/>
    </row>
    <row r="127" spans="7:19" ht="15.75" thickBot="1" x14ac:dyDescent="0.3">
      <c r="G127">
        <v>6</v>
      </c>
      <c r="H127" s="268"/>
      <c r="I127" s="247"/>
      <c r="J127" s="104"/>
      <c r="K127" s="104"/>
      <c r="L127" s="244"/>
      <c r="M127" s="244"/>
      <c r="N127" s="244"/>
      <c r="O127" s="104"/>
      <c r="P127" s="6"/>
      <c r="Q127" s="6"/>
      <c r="R127" s="248"/>
      <c r="S127" s="248"/>
    </row>
    <row r="128" spans="7:19" ht="15.75" thickBot="1" x14ac:dyDescent="0.3">
      <c r="G128">
        <v>10</v>
      </c>
      <c r="H128" s="264"/>
      <c r="I128" s="247"/>
      <c r="J128" s="107"/>
      <c r="K128" s="107"/>
      <c r="L128" s="244"/>
      <c r="M128" s="244"/>
      <c r="N128" s="244"/>
      <c r="O128" s="107"/>
      <c r="P128" s="12"/>
      <c r="Q128" s="11"/>
      <c r="R128" s="248"/>
      <c r="S128" s="248"/>
    </row>
    <row r="129" spans="7:19" ht="15.75" thickBot="1" x14ac:dyDescent="0.3">
      <c r="G129">
        <v>14</v>
      </c>
      <c r="H129" s="266"/>
      <c r="I129" s="247"/>
      <c r="J129" s="110"/>
      <c r="K129" s="110"/>
      <c r="L129" s="244"/>
      <c r="M129" s="244"/>
      <c r="N129" s="244"/>
      <c r="O129" s="192"/>
      <c r="P129" s="14"/>
      <c r="Q129" s="14"/>
      <c r="R129" s="248"/>
      <c r="S129" s="248"/>
    </row>
    <row r="130" spans="7:19" ht="15.75" thickBot="1" x14ac:dyDescent="0.3">
      <c r="G130">
        <v>18</v>
      </c>
      <c r="H130" s="265"/>
      <c r="I130" s="247"/>
      <c r="J130" s="113"/>
      <c r="K130" s="113"/>
      <c r="L130" s="244"/>
      <c r="M130" s="244"/>
      <c r="N130" s="244"/>
      <c r="O130" s="113"/>
      <c r="P130" s="18"/>
      <c r="Q130" s="17"/>
      <c r="R130" s="248"/>
      <c r="S130" s="248"/>
    </row>
    <row r="131" spans="7:19" ht="15.75" thickBot="1" x14ac:dyDescent="0.3">
      <c r="G131">
        <v>22</v>
      </c>
      <c r="H131" s="271"/>
      <c r="I131" s="247"/>
      <c r="J131" s="115"/>
      <c r="K131" s="115"/>
      <c r="L131" s="244"/>
      <c r="M131" s="244"/>
      <c r="N131" s="244"/>
      <c r="O131" s="115"/>
      <c r="P131" s="21"/>
      <c r="Q131" s="21"/>
      <c r="R131" s="248"/>
      <c r="S131" s="248"/>
    </row>
    <row r="132" spans="7:19" ht="15.75" thickBot="1" x14ac:dyDescent="0.3">
      <c r="G132">
        <v>26</v>
      </c>
      <c r="H132" s="270"/>
      <c r="I132" s="247"/>
      <c r="J132" s="117"/>
      <c r="K132" s="117"/>
      <c r="L132" s="244"/>
      <c r="M132" s="244"/>
      <c r="N132" s="244"/>
      <c r="O132" s="195"/>
      <c r="P132" s="23"/>
      <c r="Q132" s="23"/>
      <c r="R132" s="248"/>
      <c r="S132" s="248"/>
    </row>
    <row r="133" spans="7:19" ht="15.75" thickBot="1" x14ac:dyDescent="0.3">
      <c r="G133">
        <v>30</v>
      </c>
      <c r="H133" s="263"/>
      <c r="I133" s="247"/>
      <c r="J133" s="120"/>
      <c r="K133" s="120"/>
      <c r="L133" s="244"/>
      <c r="M133" s="244"/>
      <c r="N133" s="244"/>
      <c r="O133" s="120"/>
      <c r="P133" s="26"/>
      <c r="Q133" s="26"/>
      <c r="R133" s="248"/>
      <c r="S133" s="248"/>
    </row>
  </sheetData>
  <conditionalFormatting sqref="R3:R1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Dluzen</dc:creator>
  <cp:lastModifiedBy>Kevin Dluzen</cp:lastModifiedBy>
  <dcterms:created xsi:type="dcterms:W3CDTF">2018-11-25T17:56:18Z</dcterms:created>
  <dcterms:modified xsi:type="dcterms:W3CDTF">2021-10-28T19:53:26Z</dcterms:modified>
</cp:coreProperties>
</file>